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-11\OneDrive\Bureau\"/>
    </mc:Choice>
  </mc:AlternateContent>
  <xr:revisionPtr revIDLastSave="0" documentId="13_ncr:1_{61DCB943-5D6B-4045-9F63-47A50ADF370F}" xr6:coauthVersionLast="41" xr6:coauthVersionMax="41" xr10:uidLastSave="{00000000-0000-0000-0000-000000000000}"/>
  <bookViews>
    <workbookView xWindow="-110" yWindow="-110" windowWidth="19420" windowHeight="10300" xr2:uid="{D767D54C-5807-44DE-8CCC-3BF5B91EA7AF}"/>
  </bookViews>
  <sheets>
    <sheet name="TLWM-DATA-GBMF-W1-2024" sheetId="1" r:id="rId1"/>
    <sheet name="Sheet1" sheetId="2" r:id="rId2"/>
  </sheets>
  <definedNames>
    <definedName name="Module">Sheet1!$C$2:$C$13</definedName>
    <definedName name="Statut">Sheet1!$A$2:$A$3</definedName>
    <definedName name="Statut1">Sheet1!$D$2:$D$3</definedName>
    <definedName name="Tome">Sheet1!$B$2:$B$4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9" i="1" l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D49" i="1"/>
  <c r="CE49" i="1"/>
  <c r="CF49" i="1"/>
  <c r="CG49" i="1"/>
  <c r="CH49" i="1"/>
  <c r="CI49" i="1"/>
  <c r="CJ49" i="1"/>
  <c r="CK49" i="1"/>
  <c r="CM49" i="1"/>
  <c r="CO49" i="1"/>
  <c r="CP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AB49" i="1"/>
  <c r="AC49" i="1"/>
  <c r="AD49" i="1"/>
  <c r="AE49" i="1"/>
  <c r="AF49" i="1"/>
  <c r="AG49" i="1"/>
  <c r="AH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Z49" i="1"/>
  <c r="AA49" i="1"/>
  <c r="F49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Q17" i="1" l="1"/>
  <c r="CQ49" i="1" s="1"/>
  <c r="CN17" i="1"/>
  <c r="CN49" i="1" s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17" i="1"/>
  <c r="CC17" i="1"/>
  <c r="CC49" i="1" s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17" i="1"/>
  <c r="BC49" i="1" l="1"/>
  <c r="CL49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18" i="1"/>
  <c r="Y17" i="1"/>
  <c r="Y49" i="1" l="1"/>
  <c r="C17" i="1" l="1"/>
</calcChain>
</file>

<file path=xl/sharedStrings.xml><?xml version="1.0" encoding="utf-8"?>
<sst xmlns="http://schemas.openxmlformats.org/spreadsheetml/2006/main" count="181" uniqueCount="97">
  <si>
    <t>District</t>
  </si>
  <si>
    <t>Semaines</t>
  </si>
  <si>
    <t>Ass. EcoBase</t>
  </si>
  <si>
    <t>H</t>
  </si>
  <si>
    <t>F</t>
  </si>
  <si>
    <t>J</t>
  </si>
  <si>
    <t>PJ</t>
  </si>
  <si>
    <t>EcoBase</t>
  </si>
  <si>
    <t>Prière</t>
  </si>
  <si>
    <t>SDC</t>
  </si>
  <si>
    <t>Culte Dim</t>
  </si>
  <si>
    <t>EcoDim</t>
  </si>
  <si>
    <t>Membres</t>
  </si>
  <si>
    <t>Moniteurs</t>
  </si>
  <si>
    <t>Statut</t>
  </si>
  <si>
    <t>Module</t>
  </si>
  <si>
    <t>Tome</t>
  </si>
  <si>
    <t>Moniteur Dispo</t>
  </si>
  <si>
    <t>Moniteurs Présents</t>
  </si>
  <si>
    <t>Nbre. Classe Existantes</t>
  </si>
  <si>
    <t>Nbre. Classe Enseignées</t>
  </si>
  <si>
    <t>Points de Difficultés</t>
  </si>
  <si>
    <t>Class. Casse</t>
  </si>
  <si>
    <t>NI</t>
  </si>
  <si>
    <t>LP</t>
  </si>
  <si>
    <t>Nbre. Pst</t>
  </si>
  <si>
    <t>Nbre. Préd</t>
  </si>
  <si>
    <t>Nbre. Moniteur EcoBase</t>
  </si>
  <si>
    <t>Nbre. Moniteurs PJ</t>
  </si>
  <si>
    <t>Pasteur Principal</t>
  </si>
  <si>
    <t>Pasteurs Assistants</t>
  </si>
  <si>
    <t>Nbre. Pst Assist</t>
  </si>
  <si>
    <t>PC</t>
  </si>
  <si>
    <t>Projecteurs</t>
  </si>
  <si>
    <t>Doc Eco Base</t>
  </si>
  <si>
    <t>Doc EcoDim</t>
  </si>
  <si>
    <t>Nbre. LD</t>
  </si>
  <si>
    <t>Total</t>
  </si>
  <si>
    <t>Ressources Matériels Mission</t>
  </si>
  <si>
    <t>Thème</t>
  </si>
  <si>
    <t>Assistance</t>
  </si>
  <si>
    <t>LD.</t>
  </si>
  <si>
    <t>Sujets touchés</t>
  </si>
  <si>
    <t>Nbre. Dem Prière</t>
  </si>
  <si>
    <t>Nbre. Prévu</t>
  </si>
  <si>
    <t>Nbre. Exécuté</t>
  </si>
  <si>
    <t>Nbre. Touché</t>
  </si>
  <si>
    <t>Assistance SDC</t>
  </si>
  <si>
    <t>Suivi</t>
  </si>
  <si>
    <t>Nbre. Touchés</t>
  </si>
  <si>
    <t>Année</t>
  </si>
  <si>
    <t>Cantiques</t>
  </si>
  <si>
    <t>Bibles</t>
  </si>
  <si>
    <t>RDV pris</t>
  </si>
  <si>
    <t>Sém. Mensuel</t>
  </si>
  <si>
    <t>Nbre</t>
  </si>
  <si>
    <t>Nbre. Suivi</t>
  </si>
  <si>
    <t>Urgences</t>
  </si>
  <si>
    <t>Nbre. Invités</t>
  </si>
  <si>
    <t>Nbre. Ajoutés</t>
  </si>
  <si>
    <t>Invités. SDC</t>
  </si>
  <si>
    <t>Nbre. SDC</t>
  </si>
  <si>
    <t>Ressource Humaine Formation &amp; Gestion Assemblée</t>
  </si>
  <si>
    <t>Nbre. Culte</t>
  </si>
  <si>
    <t>Points de difficutés</t>
  </si>
  <si>
    <t>Obs.</t>
  </si>
  <si>
    <t>Nbre Moniteurs Présents</t>
  </si>
  <si>
    <t>G</t>
  </si>
  <si>
    <t>Autres Act. EcoDim (AAE)</t>
  </si>
  <si>
    <t>Assist.</t>
  </si>
  <si>
    <t>Assistances</t>
  </si>
  <si>
    <t>Thèmes</t>
  </si>
  <si>
    <t>Pst</t>
  </si>
  <si>
    <t>Séminaires</t>
  </si>
  <si>
    <t>Sém PJ</t>
  </si>
  <si>
    <t>LR.</t>
  </si>
  <si>
    <t>Dif.</t>
  </si>
  <si>
    <t>Autres Activités (AA)</t>
  </si>
  <si>
    <t>Activités</t>
  </si>
  <si>
    <t>EVOLUTION DES ASSEMBLEES</t>
  </si>
  <si>
    <t>Assemblée</t>
  </si>
  <si>
    <t>Lomé</t>
  </si>
  <si>
    <t>Avédji</t>
  </si>
  <si>
    <t>Total W1 2024</t>
  </si>
  <si>
    <t>statut</t>
  </si>
  <si>
    <t>Pas OK</t>
  </si>
  <si>
    <t>OK</t>
  </si>
  <si>
    <t>Bâptème</t>
  </si>
  <si>
    <t>statut1</t>
  </si>
  <si>
    <t>Résolu</t>
  </si>
  <si>
    <t>Non Résolu</t>
  </si>
  <si>
    <t>Exode 5:5</t>
  </si>
  <si>
    <t>la création</t>
  </si>
  <si>
    <t>T</t>
  </si>
  <si>
    <t>Activité</t>
  </si>
  <si>
    <t>Collage et Peinture</t>
  </si>
  <si>
    <t>Sortie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</si>
</sst>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897F-B6D9-4ED7-AAE1-5CB9CD4C9EC8}">
  <dimension ref="C13:EE50"/>
  <sheetViews>
    <sheetView tabSelected="1" topLeftCell="BY1" zoomScale="80" zoomScaleNormal="80" workbookViewId="0">
      <selection activeCell="CU47" sqref="CU47"/>
    </sheetView>
  </sheetViews>
  <sheetFormatPr defaultRowHeight="14.5" x14ac:dyDescent="0.35"/>
  <cols>
    <col min="3" max="3" width="6.26953125" bestFit="1" customWidth="1"/>
    <col min="4" max="4" width="8.81640625" bestFit="1" customWidth="1"/>
    <col min="5" max="5" width="6.90625" bestFit="1" customWidth="1"/>
    <col min="6" max="6" width="9.90625" bestFit="1" customWidth="1"/>
    <col min="7" max="7" width="8.6328125" bestFit="1" customWidth="1"/>
    <col min="8" max="8" width="13.81640625" bestFit="1" customWidth="1"/>
    <col min="9" max="9" width="9.90625" bestFit="1" customWidth="1"/>
    <col min="10" max="10" width="21.54296875" bestFit="1" customWidth="1"/>
    <col min="11" max="11" width="16.90625" bestFit="1" customWidth="1"/>
    <col min="12" max="12" width="8.26953125" bestFit="1" customWidth="1"/>
    <col min="13" max="13" width="3.1796875" bestFit="1" customWidth="1"/>
    <col min="14" max="14" width="10.453125" bestFit="1" customWidth="1"/>
    <col min="15" max="15" width="9.1796875" bestFit="1" customWidth="1"/>
    <col min="16" max="16" width="5.90625" bestFit="1" customWidth="1"/>
    <col min="17" max="17" width="12.26953125" bestFit="1" customWidth="1"/>
    <col min="18" max="18" width="11.08984375" bestFit="1" customWidth="1"/>
    <col min="19" max="19" width="14.90625" bestFit="1" customWidth="1"/>
    <col min="20" max="20" width="16.81640625" bestFit="1" customWidth="1"/>
    <col min="21" max="21" width="3.08984375" bestFit="1" customWidth="1"/>
    <col min="22" max="24" width="4.08984375" bestFit="1" customWidth="1"/>
    <col min="25" max="25" width="5.36328125" bestFit="1" customWidth="1"/>
    <col min="26" max="26" width="6.7265625" bestFit="1" customWidth="1"/>
    <col min="27" max="27" width="5.81640625" bestFit="1" customWidth="1"/>
    <col min="28" max="28" width="7.36328125" bestFit="1" customWidth="1"/>
    <col min="29" max="29" width="14" bestFit="1" customWidth="1"/>
    <col min="30" max="30" width="17.1796875" bestFit="1" customWidth="1"/>
    <col min="31" max="31" width="20.453125" bestFit="1" customWidth="1"/>
    <col min="32" max="32" width="21.08984375" bestFit="1" customWidth="1"/>
    <col min="33" max="33" width="6" bestFit="1" customWidth="1"/>
    <col min="34" max="34" width="2.90625" bestFit="1" customWidth="1"/>
    <col min="35" max="37" width="3.08984375" bestFit="1" customWidth="1"/>
    <col min="38" max="38" width="2.7265625" bestFit="1" customWidth="1"/>
    <col min="39" max="39" width="3.08984375" bestFit="1" customWidth="1"/>
    <col min="40" max="40" width="19.54296875" bestFit="1" customWidth="1"/>
    <col min="41" max="41" width="10.54296875" bestFit="1" customWidth="1"/>
    <col min="42" max="42" width="9.1796875" bestFit="1" customWidth="1"/>
    <col min="43" max="43" width="2.26953125" bestFit="1" customWidth="1"/>
    <col min="44" max="44" width="2" bestFit="1" customWidth="1"/>
    <col min="45" max="45" width="3.08984375" bestFit="1" customWidth="1"/>
    <col min="46" max="46" width="2.7265625" bestFit="1" customWidth="1"/>
    <col min="47" max="47" width="3.7265625" bestFit="1" customWidth="1"/>
    <col min="48" max="48" width="12.90625" bestFit="1" customWidth="1"/>
    <col min="49" max="49" width="15.453125" bestFit="1" customWidth="1"/>
    <col min="50" max="50" width="10.81640625" bestFit="1" customWidth="1"/>
    <col min="51" max="51" width="12.7265625" bestFit="1" customWidth="1"/>
    <col min="52" max="52" width="2.26953125" bestFit="1" customWidth="1"/>
    <col min="53" max="54" width="3.08984375" bestFit="1" customWidth="1"/>
    <col min="55" max="55" width="5.36328125" bestFit="1" customWidth="1"/>
    <col min="56" max="56" width="2.26953125" bestFit="1" customWidth="1"/>
    <col min="57" max="58" width="2" bestFit="1" customWidth="1"/>
    <col min="59" max="59" width="2.7265625" bestFit="1" customWidth="1"/>
    <col min="60" max="60" width="3.7265625" bestFit="1" customWidth="1"/>
    <col min="61" max="61" width="6.7265625" bestFit="1" customWidth="1"/>
    <col min="62" max="62" width="13.08984375" bestFit="1" customWidth="1"/>
    <col min="63" max="63" width="7.90625" bestFit="1" customWidth="1"/>
    <col min="64" max="64" width="5.08984375" bestFit="1" customWidth="1"/>
    <col min="65" max="65" width="11.54296875" bestFit="1" customWidth="1"/>
    <col min="66" max="66" width="10.81640625" bestFit="1" customWidth="1"/>
    <col min="67" max="67" width="9.90625" bestFit="1" customWidth="1"/>
    <col min="68" max="68" width="12.36328125" bestFit="1" customWidth="1"/>
    <col min="69" max="69" width="5.08984375" bestFit="1" customWidth="1"/>
    <col min="70" max="70" width="11.54296875" bestFit="1" customWidth="1"/>
    <col min="71" max="71" width="9.453125" bestFit="1" customWidth="1"/>
    <col min="72" max="72" width="9.90625" bestFit="1" customWidth="1"/>
    <col min="73" max="73" width="12.36328125" bestFit="1" customWidth="1"/>
    <col min="74" max="74" width="10.453125" bestFit="1" customWidth="1"/>
    <col min="75" max="75" width="6" bestFit="1" customWidth="1"/>
    <col min="76" max="76" width="25" bestFit="1" customWidth="1"/>
    <col min="77" max="80" width="3.08984375" bestFit="1" customWidth="1"/>
    <col min="81" max="81" width="5.36328125" bestFit="1" customWidth="1"/>
    <col min="82" max="82" width="3.08984375" bestFit="1" customWidth="1"/>
    <col min="83" max="83" width="16.90625" bestFit="1" customWidth="1"/>
    <col min="84" max="84" width="4.7265625" bestFit="1" customWidth="1"/>
    <col min="85" max="85" width="6" bestFit="1" customWidth="1"/>
    <col min="86" max="86" width="9.90625" bestFit="1" customWidth="1"/>
    <col min="87" max="87" width="21.90625" bestFit="1" customWidth="1"/>
    <col min="88" max="90" width="3.08984375" bestFit="1" customWidth="1"/>
    <col min="91" max="91" width="16.81640625" bestFit="1" customWidth="1"/>
    <col min="92" max="92" width="6.26953125" bestFit="1" customWidth="1"/>
    <col min="93" max="95" width="3.08984375" bestFit="1" customWidth="1"/>
    <col min="96" max="96" width="9.54296875" bestFit="1" customWidth="1"/>
    <col min="97" max="97" width="5.08984375" bestFit="1" customWidth="1"/>
    <col min="98" max="98" width="7.453125" bestFit="1" customWidth="1"/>
    <col min="99" max="99" width="2.26953125" bestFit="1" customWidth="1"/>
    <col min="100" max="101" width="2" bestFit="1" customWidth="1"/>
    <col min="102" max="102" width="3.54296875" bestFit="1" customWidth="1"/>
    <col min="103" max="103" width="5.08984375" bestFit="1" customWidth="1"/>
    <col min="104" max="104" width="7.453125" bestFit="1" customWidth="1"/>
    <col min="105" max="105" width="2.26953125" bestFit="1" customWidth="1"/>
    <col min="106" max="107" width="2" bestFit="1" customWidth="1"/>
    <col min="108" max="108" width="3.6328125" bestFit="1" customWidth="1"/>
    <col min="109" max="109" width="4" bestFit="1" customWidth="1"/>
    <col min="110" max="110" width="4.7265625" bestFit="1" customWidth="1"/>
    <col min="111" max="111" width="5.08984375" bestFit="1" customWidth="1"/>
    <col min="112" max="112" width="6.7265625" bestFit="1" customWidth="1"/>
    <col min="113" max="113" width="9.6328125" bestFit="1" customWidth="1"/>
    <col min="114" max="114" width="2" bestFit="1" customWidth="1"/>
    <col min="115" max="115" width="4" bestFit="1" customWidth="1"/>
    <col min="116" max="116" width="4.7265625" bestFit="1" customWidth="1"/>
    <col min="117" max="117" width="5.08984375" bestFit="1" customWidth="1"/>
    <col min="118" max="118" width="7.453125" bestFit="1" customWidth="1"/>
    <col min="119" max="119" width="10.453125" bestFit="1" customWidth="1"/>
    <col min="120" max="121" width="2" bestFit="1" customWidth="1"/>
    <col min="122" max="122" width="2.26953125" bestFit="1" customWidth="1"/>
    <col min="123" max="123" width="2" bestFit="1" customWidth="1"/>
    <col min="124" max="124" width="3.6328125" bestFit="1" customWidth="1"/>
    <col min="125" max="125" width="4" bestFit="1" customWidth="1"/>
    <col min="126" max="126" width="4.7265625" bestFit="1" customWidth="1"/>
    <col min="127" max="127" width="5.81640625" customWidth="1"/>
    <col min="128" max="128" width="5.36328125" customWidth="1"/>
    <col min="129" max="129" width="6.7265625" customWidth="1"/>
    <col min="130" max="130" width="6.26953125" customWidth="1"/>
    <col min="131" max="131" width="8.08984375" customWidth="1"/>
    <col min="132" max="132" width="5.7265625" customWidth="1"/>
    <col min="133" max="133" width="5.453125" customWidth="1"/>
    <col min="134" max="134" width="5.7265625" customWidth="1"/>
    <col min="135" max="135" width="5.453125" customWidth="1"/>
  </cols>
  <sheetData>
    <row r="13" spans="3:135" ht="15" customHeight="1" x14ac:dyDescent="0.35">
      <c r="C13" s="8" t="s">
        <v>79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78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</row>
    <row r="14" spans="3:135" s="3" customFormat="1" ht="13.5" customHeight="1" x14ac:dyDescent="0.35">
      <c r="C14" s="9" t="s">
        <v>50</v>
      </c>
      <c r="D14" s="9" t="s">
        <v>1</v>
      </c>
      <c r="E14" s="9" t="s">
        <v>0</v>
      </c>
      <c r="F14" s="9" t="s">
        <v>80</v>
      </c>
      <c r="G14" s="9" t="s">
        <v>62</v>
      </c>
      <c r="H14" s="9"/>
      <c r="I14" s="9"/>
      <c r="J14" s="9"/>
      <c r="K14" s="9"/>
      <c r="L14" s="9"/>
      <c r="M14" s="9" t="s">
        <v>38</v>
      </c>
      <c r="N14" s="9"/>
      <c r="O14" s="9"/>
      <c r="P14" s="9"/>
      <c r="Q14" s="9"/>
      <c r="R14" s="9"/>
      <c r="S14" s="9"/>
      <c r="T14" s="9"/>
      <c r="U14" s="9" t="s">
        <v>12</v>
      </c>
      <c r="V14" s="9"/>
      <c r="W14" s="9"/>
      <c r="X14" s="9"/>
      <c r="Y14" s="5"/>
      <c r="Z14" s="9" t="s">
        <v>7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 t="s">
        <v>8</v>
      </c>
      <c r="AQ14" s="9"/>
      <c r="AR14" s="9"/>
      <c r="AS14" s="9"/>
      <c r="AT14" s="9"/>
      <c r="AU14" s="9"/>
      <c r="AV14" s="9"/>
      <c r="AW14" s="9"/>
      <c r="AX14" s="9"/>
      <c r="AY14" s="9" t="s">
        <v>9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 t="s">
        <v>48</v>
      </c>
      <c r="BN14" s="9"/>
      <c r="BO14" s="9"/>
      <c r="BP14" s="9"/>
      <c r="BQ14" s="9"/>
      <c r="BR14" s="9"/>
      <c r="BS14" s="9"/>
      <c r="BT14" s="9"/>
      <c r="BU14" s="9"/>
      <c r="BV14" s="9" t="s">
        <v>10</v>
      </c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 t="s">
        <v>11</v>
      </c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 t="s">
        <v>57</v>
      </c>
      <c r="CU14" s="9"/>
      <c r="CV14" s="9"/>
      <c r="CW14" s="9"/>
      <c r="CX14" s="9"/>
      <c r="CY14" s="9"/>
      <c r="CZ14" s="9" t="s">
        <v>73</v>
      </c>
      <c r="DA14" s="9"/>
      <c r="DB14" s="9"/>
      <c r="DC14" s="9"/>
      <c r="DD14" s="9"/>
      <c r="DE14" s="9"/>
      <c r="DF14" s="9"/>
      <c r="DG14" s="9"/>
      <c r="DH14" s="9" t="s">
        <v>74</v>
      </c>
      <c r="DI14" s="9"/>
      <c r="DJ14" s="9"/>
      <c r="DK14" s="9"/>
      <c r="DL14" s="9"/>
      <c r="DM14" s="9"/>
      <c r="DN14" s="9" t="s">
        <v>77</v>
      </c>
      <c r="DO14" s="9"/>
      <c r="DP14" s="9"/>
      <c r="DQ14" s="9"/>
      <c r="DR14" s="9"/>
      <c r="DS14" s="9"/>
      <c r="DT14" s="9"/>
      <c r="DU14" s="9"/>
      <c r="DV14" s="9"/>
    </row>
    <row r="15" spans="3:135" s="3" customFormat="1" ht="14.5" customHeight="1" x14ac:dyDescent="0.35">
      <c r="C15" s="9"/>
      <c r="D15" s="9"/>
      <c r="E15" s="9"/>
      <c r="F15" s="9"/>
      <c r="G15" s="9" t="s">
        <v>25</v>
      </c>
      <c r="H15" s="9" t="s">
        <v>31</v>
      </c>
      <c r="I15" s="9" t="s">
        <v>26</v>
      </c>
      <c r="J15" s="9" t="s">
        <v>27</v>
      </c>
      <c r="K15" s="9" t="s">
        <v>28</v>
      </c>
      <c r="L15" s="9" t="s">
        <v>36</v>
      </c>
      <c r="M15" s="9" t="s">
        <v>32</v>
      </c>
      <c r="N15" s="9" t="s">
        <v>33</v>
      </c>
      <c r="O15" s="9" t="s">
        <v>51</v>
      </c>
      <c r="P15" s="9" t="s">
        <v>52</v>
      </c>
      <c r="Q15" s="9" t="s">
        <v>34</v>
      </c>
      <c r="R15" s="9" t="s">
        <v>35</v>
      </c>
      <c r="S15" s="9" t="s">
        <v>29</v>
      </c>
      <c r="T15" s="9" t="s">
        <v>30</v>
      </c>
      <c r="U15" s="9" t="s">
        <v>3</v>
      </c>
      <c r="V15" s="9" t="s">
        <v>4</v>
      </c>
      <c r="W15" s="9" t="s">
        <v>5</v>
      </c>
      <c r="X15" s="9" t="s">
        <v>6</v>
      </c>
      <c r="Y15" s="9" t="s">
        <v>37</v>
      </c>
      <c r="Z15" s="9" t="s">
        <v>14</v>
      </c>
      <c r="AA15" s="9" t="s">
        <v>16</v>
      </c>
      <c r="AB15" s="9" t="s">
        <v>15</v>
      </c>
      <c r="AC15" s="9" t="s">
        <v>17</v>
      </c>
      <c r="AD15" s="9" t="s">
        <v>18</v>
      </c>
      <c r="AE15" s="9" t="s">
        <v>19</v>
      </c>
      <c r="AF15" s="9" t="s">
        <v>20</v>
      </c>
      <c r="AG15" s="9" t="s">
        <v>22</v>
      </c>
      <c r="AH15" s="9"/>
      <c r="AI15" s="9" t="s">
        <v>2</v>
      </c>
      <c r="AJ15" s="9"/>
      <c r="AK15" s="9"/>
      <c r="AL15" s="9"/>
      <c r="AM15" s="9"/>
      <c r="AN15" s="9" t="s">
        <v>21</v>
      </c>
      <c r="AO15" s="9" t="s">
        <v>14</v>
      </c>
      <c r="AP15" s="9" t="s">
        <v>39</v>
      </c>
      <c r="AQ15" s="9" t="s">
        <v>40</v>
      </c>
      <c r="AR15" s="9"/>
      <c r="AS15" s="9"/>
      <c r="AT15" s="9"/>
      <c r="AU15" s="9"/>
      <c r="AV15" s="9" t="s">
        <v>42</v>
      </c>
      <c r="AW15" s="9" t="s">
        <v>43</v>
      </c>
      <c r="AX15" s="9" t="s">
        <v>44</v>
      </c>
      <c r="AY15" s="9" t="s">
        <v>45</v>
      </c>
      <c r="AZ15" s="9" t="s">
        <v>46</v>
      </c>
      <c r="BA15" s="9"/>
      <c r="BB15" s="9"/>
      <c r="BC15" s="9"/>
      <c r="BD15" s="9" t="s">
        <v>47</v>
      </c>
      <c r="BE15" s="9"/>
      <c r="BF15" s="9"/>
      <c r="BG15" s="9"/>
      <c r="BH15" s="9"/>
      <c r="BI15" s="9" t="s">
        <v>48</v>
      </c>
      <c r="BJ15" s="9"/>
      <c r="BK15" s="9"/>
      <c r="BL15" s="9" t="s">
        <v>57</v>
      </c>
      <c r="BM15" s="9"/>
      <c r="BN15" s="9"/>
      <c r="BO15" s="9"/>
      <c r="BP15" s="9"/>
      <c r="BQ15" s="9" t="s">
        <v>54</v>
      </c>
      <c r="BR15" s="9"/>
      <c r="BS15" s="9"/>
      <c r="BT15" s="9"/>
      <c r="BU15" s="9"/>
      <c r="BV15" s="9" t="s">
        <v>63</v>
      </c>
      <c r="BW15" s="9" t="s">
        <v>14</v>
      </c>
      <c r="BX15" s="9" t="s">
        <v>39</v>
      </c>
      <c r="BY15" s="9" t="s">
        <v>40</v>
      </c>
      <c r="BZ15" s="9"/>
      <c r="CA15" s="9"/>
      <c r="CB15" s="9"/>
      <c r="CC15" s="9"/>
      <c r="CD15" s="9"/>
      <c r="CE15" s="9" t="s">
        <v>64</v>
      </c>
      <c r="CF15" s="9" t="s">
        <v>65</v>
      </c>
      <c r="CG15" s="9" t="s">
        <v>14</v>
      </c>
      <c r="CH15" s="9" t="s">
        <v>39</v>
      </c>
      <c r="CI15" s="9" t="s">
        <v>66</v>
      </c>
      <c r="CJ15" s="9" t="s">
        <v>40</v>
      </c>
      <c r="CK15" s="9"/>
      <c r="CL15" s="9"/>
      <c r="CM15" s="9" t="s">
        <v>68</v>
      </c>
      <c r="CN15" s="9"/>
      <c r="CO15" s="9"/>
      <c r="CP15" s="9"/>
      <c r="CQ15" s="9"/>
      <c r="CR15" s="9"/>
      <c r="CS15" s="9" t="s">
        <v>55</v>
      </c>
      <c r="CT15" s="9" t="s">
        <v>71</v>
      </c>
      <c r="CU15" s="9" t="s">
        <v>40</v>
      </c>
      <c r="CV15" s="9"/>
      <c r="CW15" s="9"/>
      <c r="CX15" s="9"/>
      <c r="CY15" s="5" t="s">
        <v>55</v>
      </c>
      <c r="CZ15" s="5" t="s">
        <v>71</v>
      </c>
      <c r="DA15" s="9" t="s">
        <v>40</v>
      </c>
      <c r="DB15" s="9"/>
      <c r="DC15" s="9"/>
      <c r="DD15" s="9"/>
      <c r="DE15" s="5" t="s">
        <v>76</v>
      </c>
      <c r="DF15" s="5" t="s">
        <v>65</v>
      </c>
      <c r="DG15" s="5" t="s">
        <v>55</v>
      </c>
      <c r="DH15" s="5" t="s">
        <v>39</v>
      </c>
      <c r="DI15" s="5" t="s">
        <v>40</v>
      </c>
      <c r="DJ15" s="5"/>
      <c r="DK15" s="5" t="s">
        <v>76</v>
      </c>
      <c r="DL15" s="5" t="s">
        <v>65</v>
      </c>
      <c r="DM15" s="5" t="s">
        <v>55</v>
      </c>
      <c r="DN15" s="5" t="s">
        <v>71</v>
      </c>
      <c r="DO15" s="5" t="s">
        <v>70</v>
      </c>
      <c r="DP15" s="5"/>
      <c r="DQ15" s="5"/>
      <c r="DR15" s="5"/>
      <c r="DS15" s="5"/>
      <c r="DT15" s="5"/>
      <c r="DU15" s="5" t="s">
        <v>76</v>
      </c>
      <c r="DV15" s="5" t="s">
        <v>65</v>
      </c>
    </row>
    <row r="16" spans="3:135" x14ac:dyDescent="0.3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5" t="s">
        <v>14</v>
      </c>
      <c r="AH16" s="5" t="s">
        <v>23</v>
      </c>
      <c r="AI16" s="6" t="s">
        <v>3</v>
      </c>
      <c r="AJ16" s="6" t="s">
        <v>4</v>
      </c>
      <c r="AK16" s="6" t="s">
        <v>5</v>
      </c>
      <c r="AL16" s="6" t="s">
        <v>6</v>
      </c>
      <c r="AM16" s="6" t="s">
        <v>24</v>
      </c>
      <c r="AN16" s="9"/>
      <c r="AO16" s="9"/>
      <c r="AP16" s="9"/>
      <c r="AQ16" s="5" t="s">
        <v>3</v>
      </c>
      <c r="AR16" s="5" t="s">
        <v>4</v>
      </c>
      <c r="AS16" s="6" t="s">
        <v>5</v>
      </c>
      <c r="AT16" s="6" t="s">
        <v>6</v>
      </c>
      <c r="AU16" s="6" t="s">
        <v>41</v>
      </c>
      <c r="AV16" s="9"/>
      <c r="AW16" s="9"/>
      <c r="AX16" s="9"/>
      <c r="AY16" s="9"/>
      <c r="AZ16" s="5" t="s">
        <v>3</v>
      </c>
      <c r="BA16" s="5" t="s">
        <v>4</v>
      </c>
      <c r="BB16" s="5" t="s">
        <v>5</v>
      </c>
      <c r="BC16" s="5" t="s">
        <v>37</v>
      </c>
      <c r="BD16" s="5" t="s">
        <v>3</v>
      </c>
      <c r="BE16" s="5" t="s">
        <v>4</v>
      </c>
      <c r="BF16" s="5" t="s">
        <v>5</v>
      </c>
      <c r="BG16" s="5" t="s">
        <v>6</v>
      </c>
      <c r="BH16" s="5" t="s">
        <v>41</v>
      </c>
      <c r="BI16" s="5" t="s">
        <v>14</v>
      </c>
      <c r="BJ16" s="5" t="s">
        <v>49</v>
      </c>
      <c r="BK16" s="5" t="s">
        <v>53</v>
      </c>
      <c r="BL16" s="5" t="s">
        <v>55</v>
      </c>
      <c r="BM16" s="5" t="s">
        <v>58</v>
      </c>
      <c r="BN16" s="5" t="s">
        <v>60</v>
      </c>
      <c r="BO16" s="5" t="s">
        <v>56</v>
      </c>
      <c r="BP16" s="5" t="s">
        <v>59</v>
      </c>
      <c r="BQ16" s="5" t="s">
        <v>55</v>
      </c>
      <c r="BR16" s="5" t="s">
        <v>58</v>
      </c>
      <c r="BS16" s="5" t="s">
        <v>61</v>
      </c>
      <c r="BT16" s="5" t="s">
        <v>56</v>
      </c>
      <c r="BU16" s="5" t="s">
        <v>59</v>
      </c>
      <c r="BV16" s="9"/>
      <c r="BW16" s="9"/>
      <c r="BX16" s="9"/>
      <c r="BY16" s="5" t="s">
        <v>3</v>
      </c>
      <c r="BZ16" s="5" t="s">
        <v>4</v>
      </c>
      <c r="CA16" s="5" t="s">
        <v>5</v>
      </c>
      <c r="CB16" s="5" t="s">
        <v>6</v>
      </c>
      <c r="CC16" s="5" t="s">
        <v>37</v>
      </c>
      <c r="CD16" s="5" t="s">
        <v>24</v>
      </c>
      <c r="CE16" s="9"/>
      <c r="CF16" s="9"/>
      <c r="CG16" s="9"/>
      <c r="CH16" s="9"/>
      <c r="CI16" s="9"/>
      <c r="CJ16" s="5" t="s">
        <v>67</v>
      </c>
      <c r="CK16" s="5" t="s">
        <v>4</v>
      </c>
      <c r="CL16" s="5" t="s">
        <v>93</v>
      </c>
      <c r="CM16" s="5" t="s">
        <v>94</v>
      </c>
      <c r="CN16" s="5" t="s">
        <v>69</v>
      </c>
      <c r="CO16" s="5" t="s">
        <v>67</v>
      </c>
      <c r="CP16" s="5" t="s">
        <v>4</v>
      </c>
      <c r="CQ16" s="5" t="s">
        <v>93</v>
      </c>
      <c r="CR16" s="5" t="s">
        <v>13</v>
      </c>
      <c r="CS16" s="9"/>
      <c r="CT16" s="9"/>
      <c r="CU16" s="5" t="s">
        <v>3</v>
      </c>
      <c r="CV16" s="6" t="s">
        <v>4</v>
      </c>
      <c r="CW16" s="6" t="s">
        <v>5</v>
      </c>
      <c r="CX16" s="6" t="s">
        <v>72</v>
      </c>
      <c r="CY16" s="6"/>
      <c r="CZ16" s="6"/>
      <c r="DA16" s="6" t="s">
        <v>3</v>
      </c>
      <c r="DB16" s="6" t="s">
        <v>4</v>
      </c>
      <c r="DC16" s="6" t="s">
        <v>5</v>
      </c>
      <c r="DD16" s="6" t="s">
        <v>75</v>
      </c>
      <c r="DE16" s="6"/>
      <c r="DF16" s="6"/>
      <c r="DG16" s="6"/>
      <c r="DH16" s="6"/>
      <c r="DI16" s="6" t="s">
        <v>67</v>
      </c>
      <c r="DJ16" s="6" t="s">
        <v>4</v>
      </c>
      <c r="DK16" s="6"/>
      <c r="DL16" s="6"/>
      <c r="DM16" s="6"/>
      <c r="DN16" s="6"/>
      <c r="DO16" s="6" t="s">
        <v>3</v>
      </c>
      <c r="DP16" s="6" t="s">
        <v>4</v>
      </c>
      <c r="DQ16" s="6" t="s">
        <v>5</v>
      </c>
      <c r="DR16" s="6" t="s">
        <v>67</v>
      </c>
      <c r="DS16" s="6" t="s">
        <v>4</v>
      </c>
      <c r="DT16" s="6" t="s">
        <v>75</v>
      </c>
      <c r="DU16" s="6"/>
      <c r="DV16" s="6"/>
      <c r="DW16" s="1"/>
      <c r="DX16" s="1"/>
      <c r="DY16" s="1"/>
      <c r="DZ16" s="1"/>
      <c r="EA16" s="1"/>
      <c r="EB16" s="1"/>
      <c r="EC16" s="1"/>
      <c r="ED16" s="1"/>
      <c r="EE16" s="1"/>
    </row>
    <row r="17" spans="3:135" ht="14.5" customHeight="1" x14ac:dyDescent="0.35">
      <c r="C17" s="10">
        <f ca="1">YEAR(TODAY())</f>
        <v>2024</v>
      </c>
      <c r="D17" s="9">
        <v>1</v>
      </c>
      <c r="E17" s="10" t="s">
        <v>81</v>
      </c>
      <c r="F17" t="s">
        <v>82</v>
      </c>
      <c r="G17">
        <v>5</v>
      </c>
      <c r="H17">
        <v>2</v>
      </c>
      <c r="I17">
        <v>5</v>
      </c>
      <c r="J17">
        <v>7</v>
      </c>
      <c r="K17">
        <v>2</v>
      </c>
      <c r="L17">
        <v>15</v>
      </c>
      <c r="M17">
        <v>6</v>
      </c>
      <c r="N17">
        <v>4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70</v>
      </c>
      <c r="V17">
        <v>130</v>
      </c>
      <c r="W17">
        <v>140</v>
      </c>
      <c r="X17">
        <v>125</v>
      </c>
      <c r="Y17">
        <f t="shared" ref="Y17:Y48" si="0">U17+V17+W17+X17</f>
        <v>465</v>
      </c>
      <c r="Z17" t="s">
        <v>86</v>
      </c>
      <c r="AA17">
        <v>1</v>
      </c>
      <c r="AB17">
        <v>7</v>
      </c>
      <c r="AC17">
        <v>4</v>
      </c>
      <c r="AD17">
        <v>2</v>
      </c>
      <c r="AE17">
        <v>5</v>
      </c>
      <c r="AF17" s="2">
        <v>3</v>
      </c>
      <c r="AG17" s="2" t="s">
        <v>86</v>
      </c>
      <c r="AH17">
        <v>3</v>
      </c>
      <c r="AI17">
        <v>11</v>
      </c>
      <c r="AJ17">
        <v>13</v>
      </c>
      <c r="AK17">
        <v>23</v>
      </c>
      <c r="AL17">
        <v>8</v>
      </c>
      <c r="AM17">
        <v>12</v>
      </c>
      <c r="AN17" s="7" t="s">
        <v>87</v>
      </c>
      <c r="AO17" t="s">
        <v>89</v>
      </c>
      <c r="AP17" t="s">
        <v>91</v>
      </c>
      <c r="AQ17">
        <v>5</v>
      </c>
      <c r="AR17">
        <v>6</v>
      </c>
      <c r="AS17">
        <v>12</v>
      </c>
      <c r="AT17">
        <v>3</v>
      </c>
      <c r="AU17">
        <v>2</v>
      </c>
      <c r="AW17">
        <v>12</v>
      </c>
      <c r="AX17">
        <v>12</v>
      </c>
      <c r="AY17">
        <v>4</v>
      </c>
      <c r="AZ17">
        <v>7</v>
      </c>
      <c r="BA17">
        <v>13</v>
      </c>
      <c r="BB17">
        <v>11</v>
      </c>
      <c r="BC17">
        <f t="shared" ref="BC17:BC48" si="1">SUM(AZ17,BA17,BB17)</f>
        <v>31</v>
      </c>
      <c r="BD17">
        <v>3</v>
      </c>
      <c r="BE17">
        <v>5</v>
      </c>
      <c r="BF17">
        <v>7</v>
      </c>
      <c r="BG17">
        <v>0</v>
      </c>
      <c r="BH17">
        <v>2</v>
      </c>
      <c r="BI17" t="s">
        <v>85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23</v>
      </c>
      <c r="BS17">
        <v>2</v>
      </c>
      <c r="BT17">
        <v>0</v>
      </c>
      <c r="BU17">
        <v>1</v>
      </c>
      <c r="BV17">
        <v>1</v>
      </c>
      <c r="BW17" s="5" t="s">
        <v>86</v>
      </c>
      <c r="BX17" s="7"/>
      <c r="BY17">
        <v>20</v>
      </c>
      <c r="BZ17">
        <v>35</v>
      </c>
      <c r="CA17">
        <v>54</v>
      </c>
      <c r="CB17">
        <v>56</v>
      </c>
      <c r="CC17">
        <f>SUM(BY17,BZ17,CA17,CB17)</f>
        <v>165</v>
      </c>
      <c r="CD17">
        <v>12</v>
      </c>
      <c r="CE17" s="7"/>
      <c r="CH17" s="7" t="s">
        <v>92</v>
      </c>
      <c r="CI17">
        <v>2</v>
      </c>
      <c r="CJ17">
        <v>12</v>
      </c>
      <c r="CK17">
        <v>14</v>
      </c>
      <c r="CL17">
        <f t="shared" ref="CL17:CL48" si="2">SUM(CJ17,CK17)</f>
        <v>26</v>
      </c>
      <c r="CM17" t="s">
        <v>96</v>
      </c>
      <c r="CN17">
        <f t="shared" ref="CN17:CN48" si="3">SUM(CO17,CP17,CR17)</f>
        <v>28</v>
      </c>
      <c r="CO17">
        <v>14</v>
      </c>
      <c r="CP17">
        <v>12</v>
      </c>
      <c r="CQ17">
        <f t="shared" ref="CQ17:CQ48" si="4">SUM(CO17,CP17)</f>
        <v>26</v>
      </c>
      <c r="CR17">
        <v>2</v>
      </c>
      <c r="CS17">
        <v>1</v>
      </c>
      <c r="CT17" s="7"/>
      <c r="CV17" s="5"/>
      <c r="CW17" s="5"/>
      <c r="CX17" s="5"/>
      <c r="CY17" s="5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U17" s="6"/>
      <c r="DV17" s="6"/>
      <c r="DW17" s="1"/>
      <c r="DX17" s="1"/>
      <c r="DY17" s="1"/>
      <c r="DZ17" s="1"/>
      <c r="EA17" s="1"/>
      <c r="EB17" s="1"/>
      <c r="EC17" s="1"/>
      <c r="ED17" s="1"/>
      <c r="EE17" s="1"/>
    </row>
    <row r="18" spans="3:135" x14ac:dyDescent="0.35">
      <c r="C18" s="10"/>
      <c r="D18" s="9"/>
      <c r="E18" s="10"/>
      <c r="G18">
        <v>3</v>
      </c>
      <c r="H18">
        <v>5</v>
      </c>
      <c r="I18">
        <v>7</v>
      </c>
      <c r="J18">
        <v>3</v>
      </c>
      <c r="K18">
        <v>2</v>
      </c>
      <c r="L18">
        <v>1</v>
      </c>
      <c r="M18">
        <v>5</v>
      </c>
      <c r="N18">
        <v>2</v>
      </c>
      <c r="O18">
        <v>4</v>
      </c>
      <c r="P18">
        <v>0</v>
      </c>
      <c r="Q18">
        <v>4</v>
      </c>
      <c r="R18">
        <v>2</v>
      </c>
      <c r="S18">
        <v>0</v>
      </c>
      <c r="T18">
        <v>2</v>
      </c>
      <c r="U18">
        <v>22</v>
      </c>
      <c r="V18">
        <v>35</v>
      </c>
      <c r="W18">
        <v>47</v>
      </c>
      <c r="X18">
        <v>56</v>
      </c>
      <c r="Y18">
        <f t="shared" si="0"/>
        <v>160</v>
      </c>
      <c r="Z18" t="s">
        <v>85</v>
      </c>
      <c r="AA18">
        <v>1</v>
      </c>
      <c r="AB18">
        <v>1</v>
      </c>
      <c r="AG18" s="2"/>
      <c r="AN18" s="7"/>
      <c r="AO18" t="s">
        <v>90</v>
      </c>
      <c r="BC18">
        <f t="shared" si="1"/>
        <v>0</v>
      </c>
      <c r="BW18" s="5"/>
      <c r="BX18" s="7"/>
      <c r="CE18" s="7"/>
      <c r="CH18" s="7"/>
      <c r="CL18">
        <f t="shared" si="2"/>
        <v>0</v>
      </c>
      <c r="CM18" t="s">
        <v>95</v>
      </c>
      <c r="CN18">
        <f t="shared" si="3"/>
        <v>28</v>
      </c>
      <c r="CO18">
        <v>13</v>
      </c>
      <c r="CP18">
        <v>12</v>
      </c>
      <c r="CQ18">
        <f t="shared" si="4"/>
        <v>25</v>
      </c>
      <c r="CR18">
        <v>3</v>
      </c>
      <c r="CS18">
        <v>1</v>
      </c>
      <c r="CT18" s="7"/>
    </row>
    <row r="19" spans="3:135" x14ac:dyDescent="0.35">
      <c r="C19" s="10"/>
      <c r="D19" s="9"/>
      <c r="E19" s="10"/>
      <c r="Y19">
        <f t="shared" si="0"/>
        <v>0</v>
      </c>
      <c r="Z19" t="s">
        <v>86</v>
      </c>
      <c r="AA19">
        <v>1</v>
      </c>
      <c r="AB19">
        <v>2</v>
      </c>
      <c r="AG19" s="2"/>
      <c r="AN19" s="7"/>
      <c r="BC19">
        <f t="shared" si="1"/>
        <v>0</v>
      </c>
      <c r="BW19" s="5"/>
      <c r="BX19" s="7"/>
      <c r="CE19" s="7"/>
      <c r="CH19" s="7"/>
      <c r="CL19">
        <f t="shared" si="2"/>
        <v>0</v>
      </c>
      <c r="CN19">
        <f t="shared" si="3"/>
        <v>0</v>
      </c>
      <c r="CQ19">
        <f t="shared" si="4"/>
        <v>0</v>
      </c>
      <c r="CT19" s="7"/>
    </row>
    <row r="20" spans="3:135" x14ac:dyDescent="0.35">
      <c r="C20" s="10"/>
      <c r="D20" s="9"/>
      <c r="E20" s="10"/>
      <c r="Y20">
        <f t="shared" si="0"/>
        <v>0</v>
      </c>
      <c r="Z20" t="s">
        <v>86</v>
      </c>
      <c r="AA20">
        <v>1</v>
      </c>
      <c r="AG20" s="2"/>
      <c r="AN20" s="7"/>
      <c r="BC20">
        <f t="shared" si="1"/>
        <v>0</v>
      </c>
      <c r="BW20" s="5"/>
      <c r="BX20" s="7"/>
      <c r="CE20" s="7"/>
      <c r="CH20" s="7"/>
      <c r="CL20">
        <f t="shared" si="2"/>
        <v>0</v>
      </c>
      <c r="CN20">
        <f t="shared" si="3"/>
        <v>0</v>
      </c>
      <c r="CQ20">
        <f t="shared" si="4"/>
        <v>0</v>
      </c>
      <c r="CT20" s="7"/>
    </row>
    <row r="21" spans="3:135" x14ac:dyDescent="0.35">
      <c r="C21" s="10"/>
      <c r="D21" s="9"/>
      <c r="E21" s="10"/>
      <c r="Y21">
        <f t="shared" si="0"/>
        <v>0</v>
      </c>
      <c r="Z21" t="s">
        <v>86</v>
      </c>
      <c r="AA21">
        <v>1</v>
      </c>
      <c r="AG21" s="2"/>
      <c r="AN21" s="7"/>
      <c r="BC21">
        <f t="shared" si="1"/>
        <v>0</v>
      </c>
      <c r="BW21" s="5"/>
      <c r="BX21" s="7"/>
      <c r="CE21" s="7"/>
      <c r="CH21" s="7"/>
      <c r="CL21">
        <f t="shared" si="2"/>
        <v>0</v>
      </c>
      <c r="CN21">
        <f t="shared" si="3"/>
        <v>0</v>
      </c>
      <c r="CQ21">
        <f t="shared" si="4"/>
        <v>0</v>
      </c>
      <c r="CT21" s="7"/>
    </row>
    <row r="22" spans="3:135" x14ac:dyDescent="0.35">
      <c r="C22" s="10"/>
      <c r="D22" s="9"/>
      <c r="E22" s="10"/>
      <c r="Y22">
        <f t="shared" si="0"/>
        <v>0</v>
      </c>
      <c r="Z22" t="s">
        <v>86</v>
      </c>
      <c r="AA22">
        <v>1</v>
      </c>
      <c r="AG22" s="2"/>
      <c r="AN22" s="7"/>
      <c r="BC22">
        <f t="shared" si="1"/>
        <v>0</v>
      </c>
      <c r="BW22" s="5"/>
      <c r="BX22" s="7"/>
      <c r="CE22" s="7"/>
      <c r="CH22" s="7"/>
      <c r="CL22">
        <f t="shared" si="2"/>
        <v>0</v>
      </c>
      <c r="CN22">
        <f t="shared" si="3"/>
        <v>0</v>
      </c>
      <c r="CQ22">
        <f t="shared" si="4"/>
        <v>0</v>
      </c>
      <c r="CT22" s="7"/>
    </row>
    <row r="23" spans="3:135" x14ac:dyDescent="0.35">
      <c r="C23" s="10"/>
      <c r="D23" s="9"/>
      <c r="E23" s="10"/>
      <c r="Y23">
        <f t="shared" si="0"/>
        <v>0</v>
      </c>
      <c r="AA23">
        <v>1</v>
      </c>
      <c r="AG23" s="2"/>
      <c r="AN23" s="7"/>
      <c r="BC23">
        <f t="shared" si="1"/>
        <v>0</v>
      </c>
      <c r="BW23" s="5"/>
      <c r="BX23" s="7"/>
      <c r="CE23" s="7"/>
      <c r="CH23" s="7"/>
      <c r="CL23">
        <f t="shared" si="2"/>
        <v>0</v>
      </c>
      <c r="CN23">
        <f t="shared" si="3"/>
        <v>0</v>
      </c>
      <c r="CQ23">
        <f t="shared" si="4"/>
        <v>0</v>
      </c>
      <c r="CT23" s="7"/>
    </row>
    <row r="24" spans="3:135" x14ac:dyDescent="0.35">
      <c r="C24" s="10"/>
      <c r="D24" s="9"/>
      <c r="E24" s="10"/>
      <c r="Y24">
        <f t="shared" si="0"/>
        <v>0</v>
      </c>
      <c r="AA24">
        <v>1</v>
      </c>
      <c r="AG24" s="2"/>
      <c r="AN24" s="7"/>
      <c r="BC24">
        <f t="shared" si="1"/>
        <v>0</v>
      </c>
      <c r="BW24" s="5"/>
      <c r="BX24" s="7"/>
      <c r="CE24" s="7"/>
      <c r="CH24" s="7"/>
      <c r="CL24">
        <f t="shared" si="2"/>
        <v>0</v>
      </c>
      <c r="CN24">
        <f t="shared" si="3"/>
        <v>0</v>
      </c>
      <c r="CQ24">
        <f t="shared" si="4"/>
        <v>0</v>
      </c>
      <c r="CT24" s="7"/>
    </row>
    <row r="25" spans="3:135" x14ac:dyDescent="0.35">
      <c r="C25" s="10"/>
      <c r="D25" s="9"/>
      <c r="E25" s="10"/>
      <c r="Y25">
        <f t="shared" si="0"/>
        <v>0</v>
      </c>
      <c r="AA25">
        <v>1</v>
      </c>
      <c r="AG25" s="2"/>
      <c r="AN25" s="7"/>
      <c r="BC25">
        <f t="shared" si="1"/>
        <v>0</v>
      </c>
      <c r="BW25" s="5"/>
      <c r="BX25" s="7"/>
      <c r="CE25" s="7"/>
      <c r="CH25" s="7"/>
      <c r="CL25">
        <f t="shared" si="2"/>
        <v>0</v>
      </c>
      <c r="CN25">
        <f t="shared" si="3"/>
        <v>0</v>
      </c>
      <c r="CQ25">
        <f t="shared" si="4"/>
        <v>0</v>
      </c>
      <c r="CT25" s="7"/>
    </row>
    <row r="26" spans="3:135" x14ac:dyDescent="0.35">
      <c r="C26" s="10"/>
      <c r="D26" s="9"/>
      <c r="E26" s="10"/>
      <c r="Y26">
        <f t="shared" si="0"/>
        <v>0</v>
      </c>
      <c r="AA26">
        <v>1</v>
      </c>
      <c r="AG26" s="2"/>
      <c r="AN26" s="7"/>
      <c r="BC26">
        <f t="shared" si="1"/>
        <v>0</v>
      </c>
      <c r="BW26" s="5"/>
      <c r="BX26" s="7"/>
      <c r="CE26" s="7"/>
      <c r="CH26" s="7"/>
      <c r="CL26">
        <f t="shared" si="2"/>
        <v>0</v>
      </c>
      <c r="CN26">
        <f t="shared" si="3"/>
        <v>0</v>
      </c>
      <c r="CQ26">
        <f t="shared" si="4"/>
        <v>0</v>
      </c>
      <c r="CT26" s="7"/>
    </row>
    <row r="27" spans="3:135" x14ac:dyDescent="0.35">
      <c r="C27" s="10"/>
      <c r="D27" s="9"/>
      <c r="E27" s="10"/>
      <c r="Y27">
        <f t="shared" si="0"/>
        <v>0</v>
      </c>
      <c r="AA27">
        <v>1</v>
      </c>
      <c r="AG27" s="2"/>
      <c r="AN27" s="7"/>
      <c r="BC27">
        <f t="shared" si="1"/>
        <v>0</v>
      </c>
      <c r="BW27" s="5"/>
      <c r="BX27" s="7"/>
      <c r="CE27" s="7"/>
      <c r="CH27" s="7"/>
      <c r="CL27">
        <f t="shared" si="2"/>
        <v>0</v>
      </c>
      <c r="CN27">
        <f t="shared" si="3"/>
        <v>0</v>
      </c>
      <c r="CQ27">
        <f t="shared" si="4"/>
        <v>0</v>
      </c>
      <c r="CT27" s="7"/>
    </row>
    <row r="28" spans="3:135" x14ac:dyDescent="0.35">
      <c r="C28" s="10"/>
      <c r="D28" s="9"/>
      <c r="E28" s="10"/>
      <c r="Y28">
        <f t="shared" si="0"/>
        <v>0</v>
      </c>
      <c r="AA28">
        <v>1</v>
      </c>
      <c r="AG28" s="2"/>
      <c r="AN28" s="7"/>
      <c r="BC28">
        <f t="shared" si="1"/>
        <v>0</v>
      </c>
      <c r="BW28" s="5"/>
      <c r="BX28" s="7"/>
      <c r="CE28" s="7"/>
      <c r="CH28" s="7"/>
      <c r="CL28">
        <f t="shared" si="2"/>
        <v>0</v>
      </c>
      <c r="CN28">
        <f t="shared" si="3"/>
        <v>0</v>
      </c>
      <c r="CQ28">
        <f t="shared" si="4"/>
        <v>0</v>
      </c>
      <c r="CT28" s="7"/>
    </row>
    <row r="29" spans="3:135" x14ac:dyDescent="0.35">
      <c r="C29" s="10"/>
      <c r="D29" s="9"/>
      <c r="E29" s="10"/>
      <c r="Y29">
        <f t="shared" si="0"/>
        <v>0</v>
      </c>
      <c r="AA29">
        <v>1</v>
      </c>
      <c r="AG29" s="2"/>
      <c r="AN29" s="7"/>
      <c r="BC29">
        <f t="shared" si="1"/>
        <v>0</v>
      </c>
      <c r="BW29" s="5"/>
      <c r="BX29" s="7"/>
      <c r="CE29" s="7"/>
      <c r="CH29" s="7"/>
      <c r="CL29">
        <f t="shared" si="2"/>
        <v>0</v>
      </c>
      <c r="CN29">
        <f t="shared" si="3"/>
        <v>0</v>
      </c>
      <c r="CQ29">
        <f t="shared" si="4"/>
        <v>0</v>
      </c>
      <c r="CT29" s="7"/>
    </row>
    <row r="30" spans="3:135" x14ac:dyDescent="0.35">
      <c r="C30" s="10"/>
      <c r="D30" s="9"/>
      <c r="E30" s="10"/>
      <c r="Y30">
        <f t="shared" si="0"/>
        <v>0</v>
      </c>
      <c r="AA30">
        <v>1</v>
      </c>
      <c r="AG30" s="2"/>
      <c r="AN30" s="7"/>
      <c r="BC30">
        <f t="shared" si="1"/>
        <v>0</v>
      </c>
      <c r="BW30" s="5"/>
      <c r="BX30" s="7"/>
      <c r="CE30" s="7"/>
      <c r="CH30" s="7"/>
      <c r="CL30">
        <f t="shared" si="2"/>
        <v>0</v>
      </c>
      <c r="CN30">
        <f t="shared" si="3"/>
        <v>0</v>
      </c>
      <c r="CQ30">
        <f t="shared" si="4"/>
        <v>0</v>
      </c>
      <c r="CT30" s="7"/>
    </row>
    <row r="31" spans="3:135" x14ac:dyDescent="0.35">
      <c r="C31" s="10"/>
      <c r="D31" s="9"/>
      <c r="E31" s="10"/>
      <c r="Y31">
        <f t="shared" si="0"/>
        <v>0</v>
      </c>
      <c r="AA31">
        <v>1</v>
      </c>
      <c r="AG31" s="2"/>
      <c r="AN31" s="7"/>
      <c r="BC31">
        <f t="shared" si="1"/>
        <v>0</v>
      </c>
      <c r="BW31" s="5"/>
      <c r="BX31" s="7"/>
      <c r="CE31" s="7"/>
      <c r="CH31" s="7"/>
      <c r="CL31">
        <f t="shared" si="2"/>
        <v>0</v>
      </c>
      <c r="CN31">
        <f t="shared" si="3"/>
        <v>0</v>
      </c>
      <c r="CQ31">
        <f t="shared" si="4"/>
        <v>0</v>
      </c>
      <c r="CT31" s="7"/>
    </row>
    <row r="32" spans="3:135" x14ac:dyDescent="0.35">
      <c r="C32" s="10"/>
      <c r="D32" s="9"/>
      <c r="E32" s="10"/>
      <c r="Y32">
        <f t="shared" si="0"/>
        <v>0</v>
      </c>
      <c r="AA32">
        <v>1</v>
      </c>
      <c r="AG32" s="2"/>
      <c r="AN32" s="7"/>
      <c r="BC32">
        <f t="shared" si="1"/>
        <v>0</v>
      </c>
      <c r="BW32" s="5"/>
      <c r="BX32" s="7"/>
      <c r="CE32" s="7"/>
      <c r="CH32" s="7"/>
      <c r="CL32">
        <f t="shared" si="2"/>
        <v>0</v>
      </c>
      <c r="CN32">
        <f t="shared" si="3"/>
        <v>0</v>
      </c>
      <c r="CQ32">
        <f t="shared" si="4"/>
        <v>0</v>
      </c>
      <c r="CT32" s="7"/>
    </row>
    <row r="33" spans="3:98" x14ac:dyDescent="0.35">
      <c r="C33" s="10"/>
      <c r="D33" s="9"/>
      <c r="E33" s="10"/>
      <c r="Y33">
        <f t="shared" si="0"/>
        <v>0</v>
      </c>
      <c r="AA33">
        <v>1</v>
      </c>
      <c r="AG33" s="2"/>
      <c r="AN33" s="7"/>
      <c r="BC33">
        <f t="shared" si="1"/>
        <v>0</v>
      </c>
      <c r="BW33" s="5"/>
      <c r="BX33" s="7"/>
      <c r="CE33" s="7"/>
      <c r="CH33" s="7"/>
      <c r="CL33">
        <f t="shared" si="2"/>
        <v>0</v>
      </c>
      <c r="CN33">
        <f t="shared" si="3"/>
        <v>0</v>
      </c>
      <c r="CQ33">
        <f t="shared" si="4"/>
        <v>0</v>
      </c>
      <c r="CT33" s="7"/>
    </row>
    <row r="34" spans="3:98" x14ac:dyDescent="0.35">
      <c r="C34" s="10"/>
      <c r="D34" s="9"/>
      <c r="E34" s="10"/>
      <c r="Y34">
        <f t="shared" si="0"/>
        <v>0</v>
      </c>
      <c r="AA34">
        <v>1</v>
      </c>
      <c r="AG34" s="2"/>
      <c r="AN34" s="7"/>
      <c r="BC34">
        <f t="shared" si="1"/>
        <v>0</v>
      </c>
      <c r="BW34" s="5"/>
      <c r="BX34" s="7"/>
      <c r="CE34" s="7"/>
      <c r="CH34" s="7"/>
      <c r="CL34">
        <f t="shared" si="2"/>
        <v>0</v>
      </c>
      <c r="CN34">
        <f t="shared" si="3"/>
        <v>0</v>
      </c>
      <c r="CQ34">
        <f t="shared" si="4"/>
        <v>0</v>
      </c>
      <c r="CT34" s="7"/>
    </row>
    <row r="35" spans="3:98" x14ac:dyDescent="0.35">
      <c r="C35" s="10"/>
      <c r="D35" s="9"/>
      <c r="E35" s="10"/>
      <c r="Y35">
        <f t="shared" si="0"/>
        <v>0</v>
      </c>
      <c r="AA35">
        <v>1</v>
      </c>
      <c r="AG35" s="2"/>
      <c r="AN35" s="7"/>
      <c r="BC35">
        <f t="shared" si="1"/>
        <v>0</v>
      </c>
      <c r="BW35" s="5"/>
      <c r="BX35" s="7"/>
      <c r="CE35" s="7"/>
      <c r="CH35" s="7"/>
      <c r="CL35">
        <f t="shared" si="2"/>
        <v>0</v>
      </c>
      <c r="CN35">
        <f t="shared" si="3"/>
        <v>0</v>
      </c>
      <c r="CQ35">
        <f t="shared" si="4"/>
        <v>0</v>
      </c>
      <c r="CT35" s="7"/>
    </row>
    <row r="36" spans="3:98" x14ac:dyDescent="0.35">
      <c r="C36" s="10"/>
      <c r="D36" s="9"/>
      <c r="E36" s="10"/>
      <c r="Y36">
        <f t="shared" si="0"/>
        <v>0</v>
      </c>
      <c r="AA36">
        <v>1</v>
      </c>
      <c r="AG36" s="2"/>
      <c r="AN36" s="7"/>
      <c r="BC36">
        <f t="shared" si="1"/>
        <v>0</v>
      </c>
      <c r="BW36" s="5"/>
      <c r="BX36" s="7"/>
      <c r="CE36" s="7"/>
      <c r="CH36" s="7"/>
      <c r="CL36">
        <f t="shared" si="2"/>
        <v>0</v>
      </c>
      <c r="CN36">
        <f t="shared" si="3"/>
        <v>0</v>
      </c>
      <c r="CQ36">
        <f t="shared" si="4"/>
        <v>0</v>
      </c>
      <c r="CT36" s="7"/>
    </row>
    <row r="37" spans="3:98" x14ac:dyDescent="0.35">
      <c r="C37" s="10"/>
      <c r="D37" s="9"/>
      <c r="E37" s="10"/>
      <c r="Y37">
        <f t="shared" si="0"/>
        <v>0</v>
      </c>
      <c r="AA37">
        <v>1</v>
      </c>
      <c r="AG37" s="2"/>
      <c r="AN37" s="7"/>
      <c r="BC37">
        <f t="shared" si="1"/>
        <v>0</v>
      </c>
      <c r="BW37" s="5"/>
      <c r="BX37" s="7"/>
      <c r="CE37" s="7"/>
      <c r="CH37" s="7"/>
      <c r="CL37">
        <f t="shared" si="2"/>
        <v>0</v>
      </c>
      <c r="CN37">
        <f t="shared" si="3"/>
        <v>0</v>
      </c>
      <c r="CQ37">
        <f t="shared" si="4"/>
        <v>0</v>
      </c>
      <c r="CT37" s="7"/>
    </row>
    <row r="38" spans="3:98" x14ac:dyDescent="0.35">
      <c r="C38" s="10"/>
      <c r="D38" s="9"/>
      <c r="E38" s="10"/>
      <c r="Y38">
        <f t="shared" si="0"/>
        <v>0</v>
      </c>
      <c r="AA38">
        <v>1</v>
      </c>
      <c r="AG38" s="2"/>
      <c r="AN38" s="7"/>
      <c r="BC38">
        <f t="shared" si="1"/>
        <v>0</v>
      </c>
      <c r="BW38" s="5"/>
      <c r="BX38" s="7"/>
      <c r="CE38" s="7"/>
      <c r="CH38" s="7"/>
      <c r="CL38">
        <f t="shared" si="2"/>
        <v>0</v>
      </c>
      <c r="CN38">
        <f t="shared" si="3"/>
        <v>0</v>
      </c>
      <c r="CQ38">
        <f t="shared" si="4"/>
        <v>0</v>
      </c>
      <c r="CT38" s="7"/>
    </row>
    <row r="39" spans="3:98" x14ac:dyDescent="0.35">
      <c r="C39" s="10"/>
      <c r="D39" s="9"/>
      <c r="E39" s="10"/>
      <c r="Y39">
        <f t="shared" si="0"/>
        <v>0</v>
      </c>
      <c r="AA39">
        <v>1</v>
      </c>
      <c r="AG39" s="2"/>
      <c r="AN39" s="7"/>
      <c r="BC39">
        <f t="shared" si="1"/>
        <v>0</v>
      </c>
      <c r="BW39" s="5"/>
      <c r="BX39" s="7"/>
      <c r="CE39" s="7"/>
      <c r="CH39" s="7"/>
      <c r="CL39">
        <f t="shared" si="2"/>
        <v>0</v>
      </c>
      <c r="CN39">
        <f t="shared" si="3"/>
        <v>0</v>
      </c>
      <c r="CQ39">
        <f t="shared" si="4"/>
        <v>0</v>
      </c>
      <c r="CT39" s="7"/>
    </row>
    <row r="40" spans="3:98" x14ac:dyDescent="0.35">
      <c r="C40" s="10"/>
      <c r="D40" s="9"/>
      <c r="E40" s="10"/>
      <c r="Y40">
        <f t="shared" si="0"/>
        <v>0</v>
      </c>
      <c r="AA40">
        <v>1</v>
      </c>
      <c r="AG40" s="2"/>
      <c r="AN40" s="7"/>
      <c r="BC40">
        <f t="shared" si="1"/>
        <v>0</v>
      </c>
      <c r="BW40" s="5"/>
      <c r="BX40" s="7"/>
      <c r="CE40" s="7"/>
      <c r="CH40" s="7"/>
      <c r="CL40">
        <f t="shared" si="2"/>
        <v>0</v>
      </c>
      <c r="CN40">
        <f t="shared" si="3"/>
        <v>0</v>
      </c>
      <c r="CQ40">
        <f t="shared" si="4"/>
        <v>0</v>
      </c>
      <c r="CT40" s="7"/>
    </row>
    <row r="41" spans="3:98" x14ac:dyDescent="0.35">
      <c r="C41" s="10"/>
      <c r="D41" s="9"/>
      <c r="E41" s="10"/>
      <c r="Y41">
        <f t="shared" si="0"/>
        <v>0</v>
      </c>
      <c r="AA41">
        <v>1</v>
      </c>
      <c r="AG41" s="2"/>
      <c r="AN41" s="7"/>
      <c r="BC41">
        <f t="shared" si="1"/>
        <v>0</v>
      </c>
      <c r="BW41" s="5"/>
      <c r="BX41" s="7"/>
      <c r="CE41" s="7"/>
      <c r="CH41" s="7"/>
      <c r="CL41">
        <f t="shared" si="2"/>
        <v>0</v>
      </c>
      <c r="CN41">
        <f t="shared" si="3"/>
        <v>0</v>
      </c>
      <c r="CQ41">
        <f t="shared" si="4"/>
        <v>0</v>
      </c>
      <c r="CT41" s="7"/>
    </row>
    <row r="42" spans="3:98" x14ac:dyDescent="0.35">
      <c r="C42" s="10"/>
      <c r="D42" s="9"/>
      <c r="E42" s="10"/>
      <c r="Y42">
        <f t="shared" si="0"/>
        <v>0</v>
      </c>
      <c r="AA42">
        <v>1</v>
      </c>
      <c r="AG42" s="2"/>
      <c r="AN42" s="7"/>
      <c r="BC42">
        <f t="shared" si="1"/>
        <v>0</v>
      </c>
      <c r="BW42" s="5"/>
      <c r="BX42" s="7"/>
      <c r="CE42" s="7"/>
      <c r="CH42" s="7"/>
      <c r="CL42">
        <f t="shared" si="2"/>
        <v>0</v>
      </c>
      <c r="CN42">
        <f t="shared" si="3"/>
        <v>0</v>
      </c>
      <c r="CQ42">
        <f t="shared" si="4"/>
        <v>0</v>
      </c>
      <c r="CT42" s="7"/>
    </row>
    <row r="43" spans="3:98" x14ac:dyDescent="0.35">
      <c r="C43" s="10"/>
      <c r="D43" s="9"/>
      <c r="E43" s="10"/>
      <c r="Y43">
        <f t="shared" si="0"/>
        <v>0</v>
      </c>
      <c r="AA43">
        <v>1</v>
      </c>
      <c r="AG43" s="2"/>
      <c r="AN43" s="7"/>
      <c r="BC43">
        <f t="shared" si="1"/>
        <v>0</v>
      </c>
      <c r="BW43" s="5"/>
      <c r="BX43" s="7"/>
      <c r="CE43" s="7"/>
      <c r="CH43" s="7"/>
      <c r="CL43">
        <f t="shared" si="2"/>
        <v>0</v>
      </c>
      <c r="CN43">
        <f t="shared" si="3"/>
        <v>0</v>
      </c>
      <c r="CQ43">
        <f t="shared" si="4"/>
        <v>0</v>
      </c>
      <c r="CT43" s="7"/>
    </row>
    <row r="44" spans="3:98" x14ac:dyDescent="0.35">
      <c r="C44" s="10"/>
      <c r="D44" s="9"/>
      <c r="E44" s="10"/>
      <c r="Y44">
        <f t="shared" si="0"/>
        <v>0</v>
      </c>
      <c r="AA44">
        <v>1</v>
      </c>
      <c r="AG44" s="2"/>
      <c r="AN44" s="7"/>
      <c r="BC44">
        <f t="shared" si="1"/>
        <v>0</v>
      </c>
      <c r="BW44" s="5"/>
      <c r="BX44" s="7"/>
      <c r="CE44" s="7"/>
      <c r="CH44" s="7"/>
      <c r="CL44">
        <f t="shared" si="2"/>
        <v>0</v>
      </c>
      <c r="CN44">
        <f t="shared" si="3"/>
        <v>0</v>
      </c>
      <c r="CQ44">
        <f t="shared" si="4"/>
        <v>0</v>
      </c>
      <c r="CT44" s="7"/>
    </row>
    <row r="45" spans="3:98" x14ac:dyDescent="0.35">
      <c r="C45" s="10"/>
      <c r="D45" s="9"/>
      <c r="E45" s="10"/>
      <c r="Y45">
        <f t="shared" si="0"/>
        <v>0</v>
      </c>
      <c r="AA45">
        <v>1</v>
      </c>
      <c r="AG45" s="2"/>
      <c r="AN45" s="7"/>
      <c r="BC45">
        <f t="shared" si="1"/>
        <v>0</v>
      </c>
      <c r="BW45" s="5"/>
      <c r="BX45" s="7"/>
      <c r="CE45" s="7"/>
      <c r="CH45" s="7"/>
      <c r="CL45">
        <f t="shared" si="2"/>
        <v>0</v>
      </c>
      <c r="CN45">
        <f t="shared" si="3"/>
        <v>0</v>
      </c>
      <c r="CQ45">
        <f t="shared" si="4"/>
        <v>0</v>
      </c>
      <c r="CT45" s="7"/>
    </row>
    <row r="46" spans="3:98" x14ac:dyDescent="0.35">
      <c r="C46" s="10"/>
      <c r="D46" s="9"/>
      <c r="E46" s="10"/>
      <c r="Y46">
        <f t="shared" si="0"/>
        <v>0</v>
      </c>
      <c r="AA46">
        <v>1</v>
      </c>
      <c r="AG46" s="2"/>
      <c r="AN46" s="7"/>
      <c r="BC46">
        <f t="shared" si="1"/>
        <v>0</v>
      </c>
      <c r="BW46" s="5"/>
      <c r="BX46" s="7"/>
      <c r="CE46" s="7"/>
      <c r="CH46" s="7"/>
      <c r="CL46">
        <f t="shared" si="2"/>
        <v>0</v>
      </c>
      <c r="CN46">
        <f t="shared" si="3"/>
        <v>0</v>
      </c>
      <c r="CQ46">
        <f t="shared" si="4"/>
        <v>0</v>
      </c>
      <c r="CT46" s="7"/>
    </row>
    <row r="47" spans="3:98" x14ac:dyDescent="0.35">
      <c r="C47" s="10"/>
      <c r="D47" s="9"/>
      <c r="E47" s="10"/>
      <c r="Y47">
        <f t="shared" si="0"/>
        <v>0</v>
      </c>
      <c r="AA47">
        <v>1</v>
      </c>
      <c r="AG47" s="2"/>
      <c r="AN47" s="7"/>
      <c r="BC47">
        <f t="shared" si="1"/>
        <v>0</v>
      </c>
      <c r="BW47" s="5"/>
      <c r="BX47" s="7"/>
      <c r="CE47" s="7"/>
      <c r="CH47" s="7"/>
      <c r="CL47">
        <f t="shared" si="2"/>
        <v>0</v>
      </c>
      <c r="CN47">
        <f t="shared" si="3"/>
        <v>0</v>
      </c>
      <c r="CQ47">
        <f t="shared" si="4"/>
        <v>0</v>
      </c>
      <c r="CT47" s="7"/>
    </row>
    <row r="48" spans="3:98" x14ac:dyDescent="0.35">
      <c r="C48" s="10"/>
      <c r="D48" s="9"/>
      <c r="E48" s="10"/>
      <c r="Y48">
        <f t="shared" si="0"/>
        <v>0</v>
      </c>
      <c r="AA48">
        <v>1</v>
      </c>
      <c r="AG48" s="2"/>
      <c r="AN48" s="7"/>
      <c r="BC48">
        <f t="shared" si="1"/>
        <v>0</v>
      </c>
      <c r="BW48" s="5"/>
      <c r="BX48" s="7"/>
      <c r="CE48" s="7"/>
      <c r="CH48" s="7"/>
      <c r="CL48">
        <f t="shared" si="2"/>
        <v>0</v>
      </c>
      <c r="CN48">
        <f t="shared" si="3"/>
        <v>0</v>
      </c>
      <c r="CQ48">
        <f t="shared" si="4"/>
        <v>0</v>
      </c>
      <c r="CT48" s="7"/>
    </row>
    <row r="49" spans="3:126" x14ac:dyDescent="0.35">
      <c r="C49" s="9" t="s">
        <v>83</v>
      </c>
      <c r="D49" s="9"/>
      <c r="E49" s="9"/>
      <c r="F49">
        <f t="shared" ref="F49:AK49" si="5">SUM(F17:F48)</f>
        <v>0</v>
      </c>
      <c r="G49">
        <f t="shared" si="5"/>
        <v>8</v>
      </c>
      <c r="H49">
        <f t="shared" si="5"/>
        <v>7</v>
      </c>
      <c r="I49">
        <f t="shared" si="5"/>
        <v>12</v>
      </c>
      <c r="J49">
        <f t="shared" si="5"/>
        <v>10</v>
      </c>
      <c r="K49">
        <f t="shared" si="5"/>
        <v>4</v>
      </c>
      <c r="L49">
        <f t="shared" si="5"/>
        <v>16</v>
      </c>
      <c r="M49">
        <f t="shared" si="5"/>
        <v>11</v>
      </c>
      <c r="N49">
        <f t="shared" si="5"/>
        <v>6</v>
      </c>
      <c r="O49">
        <f t="shared" si="5"/>
        <v>4</v>
      </c>
      <c r="P49">
        <f t="shared" si="5"/>
        <v>0</v>
      </c>
      <c r="Q49">
        <f t="shared" si="5"/>
        <v>4</v>
      </c>
      <c r="R49">
        <f t="shared" si="5"/>
        <v>2</v>
      </c>
      <c r="S49">
        <f t="shared" si="5"/>
        <v>1</v>
      </c>
      <c r="T49">
        <f t="shared" si="5"/>
        <v>3</v>
      </c>
      <c r="U49">
        <f t="shared" si="5"/>
        <v>92</v>
      </c>
      <c r="V49">
        <f t="shared" si="5"/>
        <v>165</v>
      </c>
      <c r="W49">
        <f t="shared" si="5"/>
        <v>187</v>
      </c>
      <c r="X49">
        <f t="shared" si="5"/>
        <v>181</v>
      </c>
      <c r="Y49">
        <f t="shared" si="5"/>
        <v>625</v>
      </c>
      <c r="Z49">
        <f t="shared" si="5"/>
        <v>0</v>
      </c>
      <c r="AA49">
        <f t="shared" si="5"/>
        <v>32</v>
      </c>
      <c r="AB49">
        <f t="shared" si="5"/>
        <v>10</v>
      </c>
      <c r="AC49">
        <f t="shared" si="5"/>
        <v>4</v>
      </c>
      <c r="AD49">
        <f t="shared" si="5"/>
        <v>2</v>
      </c>
      <c r="AE49">
        <f t="shared" si="5"/>
        <v>5</v>
      </c>
      <c r="AF49">
        <f t="shared" si="5"/>
        <v>3</v>
      </c>
      <c r="AG49">
        <f t="shared" si="5"/>
        <v>0</v>
      </c>
      <c r="AH49">
        <f t="shared" si="5"/>
        <v>3</v>
      </c>
      <c r="AI49">
        <f t="shared" si="5"/>
        <v>11</v>
      </c>
      <c r="AJ49">
        <f t="shared" si="5"/>
        <v>13</v>
      </c>
      <c r="AK49">
        <f t="shared" si="5"/>
        <v>23</v>
      </c>
      <c r="AL49">
        <f t="shared" ref="AL49:BQ49" si="6">SUM(AL17:AL48)</f>
        <v>8</v>
      </c>
      <c r="AM49">
        <f t="shared" si="6"/>
        <v>12</v>
      </c>
      <c r="AN49">
        <f t="shared" si="6"/>
        <v>0</v>
      </c>
      <c r="AO49">
        <f t="shared" si="6"/>
        <v>0</v>
      </c>
      <c r="AP49">
        <f t="shared" si="6"/>
        <v>0</v>
      </c>
      <c r="AQ49">
        <f t="shared" si="6"/>
        <v>5</v>
      </c>
      <c r="AR49">
        <f t="shared" si="6"/>
        <v>6</v>
      </c>
      <c r="AS49">
        <f t="shared" si="6"/>
        <v>12</v>
      </c>
      <c r="AT49">
        <f t="shared" si="6"/>
        <v>3</v>
      </c>
      <c r="AU49">
        <f t="shared" si="6"/>
        <v>2</v>
      </c>
      <c r="AV49">
        <f t="shared" si="6"/>
        <v>0</v>
      </c>
      <c r="AW49">
        <f t="shared" si="6"/>
        <v>12</v>
      </c>
      <c r="AX49">
        <f t="shared" si="6"/>
        <v>12</v>
      </c>
      <c r="AY49">
        <f t="shared" si="6"/>
        <v>4</v>
      </c>
      <c r="AZ49">
        <f t="shared" si="6"/>
        <v>7</v>
      </c>
      <c r="BA49">
        <f t="shared" si="6"/>
        <v>13</v>
      </c>
      <c r="BB49">
        <f t="shared" si="6"/>
        <v>11</v>
      </c>
      <c r="BC49">
        <f t="shared" si="6"/>
        <v>31</v>
      </c>
      <c r="BD49">
        <f t="shared" si="6"/>
        <v>3</v>
      </c>
      <c r="BE49">
        <f t="shared" si="6"/>
        <v>5</v>
      </c>
      <c r="BF49">
        <f t="shared" si="6"/>
        <v>7</v>
      </c>
      <c r="BG49">
        <f t="shared" si="6"/>
        <v>0</v>
      </c>
      <c r="BH49">
        <f t="shared" si="6"/>
        <v>2</v>
      </c>
      <c r="BI49">
        <f t="shared" si="6"/>
        <v>0</v>
      </c>
      <c r="BJ49">
        <f t="shared" si="6"/>
        <v>0</v>
      </c>
      <c r="BK49">
        <f t="shared" si="6"/>
        <v>0</v>
      </c>
      <c r="BL49">
        <f t="shared" si="6"/>
        <v>0</v>
      </c>
      <c r="BM49">
        <f t="shared" si="6"/>
        <v>0</v>
      </c>
      <c r="BN49">
        <f t="shared" si="6"/>
        <v>0</v>
      </c>
      <c r="BO49">
        <f t="shared" si="6"/>
        <v>0</v>
      </c>
      <c r="BP49">
        <f t="shared" si="6"/>
        <v>0</v>
      </c>
      <c r="BQ49">
        <f t="shared" si="6"/>
        <v>1</v>
      </c>
      <c r="BR49">
        <f t="shared" ref="BR49:CW49" si="7">SUM(BR17:BR48)</f>
        <v>23</v>
      </c>
      <c r="BS49">
        <f t="shared" si="7"/>
        <v>2</v>
      </c>
      <c r="BT49">
        <f t="shared" si="7"/>
        <v>0</v>
      </c>
      <c r="BU49">
        <f t="shared" si="7"/>
        <v>1</v>
      </c>
      <c r="BV49">
        <f t="shared" si="7"/>
        <v>1</v>
      </c>
      <c r="BW49">
        <f t="shared" si="7"/>
        <v>0</v>
      </c>
      <c r="BX49">
        <f t="shared" si="7"/>
        <v>0</v>
      </c>
      <c r="BY49">
        <f t="shared" si="7"/>
        <v>20</v>
      </c>
      <c r="BZ49">
        <f t="shared" si="7"/>
        <v>35</v>
      </c>
      <c r="CA49">
        <f t="shared" si="7"/>
        <v>54</v>
      </c>
      <c r="CB49">
        <f t="shared" si="7"/>
        <v>56</v>
      </c>
      <c r="CC49">
        <f t="shared" si="7"/>
        <v>165</v>
      </c>
      <c r="CD49">
        <f t="shared" si="7"/>
        <v>12</v>
      </c>
      <c r="CE49">
        <f t="shared" si="7"/>
        <v>0</v>
      </c>
      <c r="CF49">
        <f t="shared" si="7"/>
        <v>0</v>
      </c>
      <c r="CG49">
        <f t="shared" si="7"/>
        <v>0</v>
      </c>
      <c r="CH49">
        <f t="shared" si="7"/>
        <v>0</v>
      </c>
      <c r="CI49">
        <f t="shared" si="7"/>
        <v>2</v>
      </c>
      <c r="CJ49">
        <f t="shared" si="7"/>
        <v>12</v>
      </c>
      <c r="CK49">
        <f t="shared" si="7"/>
        <v>14</v>
      </c>
      <c r="CL49">
        <f t="shared" si="7"/>
        <v>26</v>
      </c>
      <c r="CM49">
        <f t="shared" si="7"/>
        <v>0</v>
      </c>
      <c r="CN49">
        <f t="shared" si="7"/>
        <v>56</v>
      </c>
      <c r="CO49">
        <f t="shared" si="7"/>
        <v>27</v>
      </c>
      <c r="CP49">
        <f t="shared" si="7"/>
        <v>24</v>
      </c>
      <c r="CQ49">
        <f t="shared" si="7"/>
        <v>51</v>
      </c>
      <c r="CR49">
        <f t="shared" si="7"/>
        <v>5</v>
      </c>
      <c r="CS49">
        <f t="shared" si="7"/>
        <v>2</v>
      </c>
      <c r="CT49">
        <f t="shared" si="7"/>
        <v>0</v>
      </c>
      <c r="CU49">
        <f t="shared" si="7"/>
        <v>0</v>
      </c>
      <c r="CV49">
        <f t="shared" si="7"/>
        <v>0</v>
      </c>
      <c r="CW49">
        <f t="shared" si="7"/>
        <v>0</v>
      </c>
      <c r="CX49">
        <f t="shared" ref="CX49:DV49" si="8">SUM(CX17:CX48)</f>
        <v>0</v>
      </c>
      <c r="CY49">
        <f t="shared" si="8"/>
        <v>0</v>
      </c>
      <c r="CZ49">
        <f t="shared" si="8"/>
        <v>0</v>
      </c>
      <c r="DA49">
        <f t="shared" si="8"/>
        <v>0</v>
      </c>
      <c r="DB49">
        <f t="shared" si="8"/>
        <v>0</v>
      </c>
      <c r="DC49">
        <f t="shared" si="8"/>
        <v>0</v>
      </c>
      <c r="DD49">
        <f t="shared" si="8"/>
        <v>0</v>
      </c>
      <c r="DE49">
        <f t="shared" si="8"/>
        <v>0</v>
      </c>
      <c r="DF49">
        <f t="shared" si="8"/>
        <v>0</v>
      </c>
      <c r="DG49">
        <f t="shared" si="8"/>
        <v>0</v>
      </c>
      <c r="DH49">
        <f t="shared" si="8"/>
        <v>0</v>
      </c>
      <c r="DI49">
        <f t="shared" si="8"/>
        <v>0</v>
      </c>
      <c r="DJ49">
        <f t="shared" si="8"/>
        <v>0</v>
      </c>
      <c r="DK49">
        <f t="shared" si="8"/>
        <v>0</v>
      </c>
      <c r="DL49">
        <f t="shared" si="8"/>
        <v>0</v>
      </c>
      <c r="DM49">
        <f t="shared" si="8"/>
        <v>0</v>
      </c>
      <c r="DN49">
        <f t="shared" si="8"/>
        <v>0</v>
      </c>
      <c r="DO49">
        <f t="shared" si="8"/>
        <v>0</v>
      </c>
      <c r="DP49">
        <f t="shared" si="8"/>
        <v>0</v>
      </c>
      <c r="DQ49">
        <f t="shared" si="8"/>
        <v>0</v>
      </c>
      <c r="DR49">
        <f t="shared" si="8"/>
        <v>0</v>
      </c>
      <c r="DS49">
        <f t="shared" si="8"/>
        <v>0</v>
      </c>
      <c r="DT49">
        <f t="shared" si="8"/>
        <v>0</v>
      </c>
      <c r="DU49">
        <f t="shared" si="8"/>
        <v>0</v>
      </c>
      <c r="DV49">
        <f t="shared" si="8"/>
        <v>0</v>
      </c>
    </row>
    <row r="50" spans="3:126" x14ac:dyDescent="0.35">
      <c r="C50" s="4"/>
      <c r="D50" s="4"/>
      <c r="E50" s="4"/>
    </row>
  </sheetData>
  <mergeCells count="79">
    <mergeCell ref="C49:E49"/>
    <mergeCell ref="E14:E16"/>
    <mergeCell ref="C14:C16"/>
    <mergeCell ref="D14:D16"/>
    <mergeCell ref="C17:C48"/>
    <mergeCell ref="D17:D48"/>
    <mergeCell ref="E17:E48"/>
    <mergeCell ref="CH15:CH16"/>
    <mergeCell ref="CI15:CI16"/>
    <mergeCell ref="CJ15:CL15"/>
    <mergeCell ref="CM15:CR15"/>
    <mergeCell ref="BM14:BU14"/>
    <mergeCell ref="BV14:CG14"/>
    <mergeCell ref="BV15:BV16"/>
    <mergeCell ref="BW15:BW16"/>
    <mergeCell ref="BX15:BX16"/>
    <mergeCell ref="CE15:CE16"/>
    <mergeCell ref="CF15:CF16"/>
    <mergeCell ref="CG15:CG16"/>
    <mergeCell ref="L15:L16"/>
    <mergeCell ref="K15:K16"/>
    <mergeCell ref="F14:F16"/>
    <mergeCell ref="J15:J16"/>
    <mergeCell ref="I15:I16"/>
    <mergeCell ref="G15:G16"/>
    <mergeCell ref="H15:H16"/>
    <mergeCell ref="C13:Y13"/>
    <mergeCell ref="Y15:Y16"/>
    <mergeCell ref="X15:X16"/>
    <mergeCell ref="W15:W16"/>
    <mergeCell ref="V15:V16"/>
    <mergeCell ref="U15:U16"/>
    <mergeCell ref="T15:T16"/>
    <mergeCell ref="S15:S16"/>
    <mergeCell ref="R15:R16"/>
    <mergeCell ref="Q15:Q16"/>
    <mergeCell ref="P15:P16"/>
    <mergeCell ref="G14:L14"/>
    <mergeCell ref="U14:X14"/>
    <mergeCell ref="O15:O16"/>
    <mergeCell ref="N15:N16"/>
    <mergeCell ref="M15:M16"/>
    <mergeCell ref="AO15:AO16"/>
    <mergeCell ref="AP15:AP16"/>
    <mergeCell ref="AQ15:AU15"/>
    <mergeCell ref="AV15:AV16"/>
    <mergeCell ref="AW15:AW16"/>
    <mergeCell ref="M14:T14"/>
    <mergeCell ref="DA15:DD15"/>
    <mergeCell ref="CZ14:DG14"/>
    <mergeCell ref="DH14:DM14"/>
    <mergeCell ref="BL15:BP15"/>
    <mergeCell ref="BQ15:BU15"/>
    <mergeCell ref="AI15:AM15"/>
    <mergeCell ref="BY15:CD15"/>
    <mergeCell ref="AE15:AE16"/>
    <mergeCell ref="Z15:Z16"/>
    <mergeCell ref="AA15:AA16"/>
    <mergeCell ref="AB15:AB16"/>
    <mergeCell ref="AC15:AC16"/>
    <mergeCell ref="AD15:AD16"/>
    <mergeCell ref="AP14:AX14"/>
    <mergeCell ref="AY14:BL14"/>
    <mergeCell ref="Z13:DV13"/>
    <mergeCell ref="Z14:AO14"/>
    <mergeCell ref="BD15:BH15"/>
    <mergeCell ref="AZ15:BC15"/>
    <mergeCell ref="AX15:AX16"/>
    <mergeCell ref="AY15:AY16"/>
    <mergeCell ref="AG15:AH15"/>
    <mergeCell ref="AN15:AN16"/>
    <mergeCell ref="BI15:BK15"/>
    <mergeCell ref="DN14:DV14"/>
    <mergeCell ref="CH14:CS14"/>
    <mergeCell ref="CT14:CY14"/>
    <mergeCell ref="CU15:CX15"/>
    <mergeCell ref="AF15:AF16"/>
    <mergeCell ref="CS15:CS16"/>
    <mergeCell ref="CT15:CT16"/>
  </mergeCells>
  <dataValidations count="4">
    <dataValidation type="list" allowBlank="1" showInputMessage="1" showErrorMessage="1" sqref="Z17:Z48 AG17:AG48 BI17:BI48 BW17:BW48" xr:uid="{39A61087-DCAF-4D56-BA1F-F567F7A3FE14}">
      <formula1>Statut</formula1>
    </dataValidation>
    <dataValidation type="list" allowBlank="1" showInputMessage="1" showErrorMessage="1" sqref="AA17:AA48" xr:uid="{3B59C6A8-FC31-454E-9D91-A51F6FA6320C}">
      <formula1>Tome</formula1>
    </dataValidation>
    <dataValidation type="list" allowBlank="1" showInputMessage="1" showErrorMessage="1" sqref="AB17:AB48" xr:uid="{790BDEB9-08D3-4015-8E29-2A429511330F}">
      <formula1>Module</formula1>
    </dataValidation>
    <dataValidation type="list" allowBlank="1" showInputMessage="1" showErrorMessage="1" sqref="AO17:AO48" xr:uid="{FA6FED1B-C769-44E9-87EA-116F16C3E9EC}">
      <formula1>Statut1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4AD4-1E87-490D-AA92-3C99D6B01D79}">
  <dimension ref="A1:D13"/>
  <sheetViews>
    <sheetView workbookViewId="0">
      <selection activeCell="D3" sqref="D3"/>
    </sheetView>
  </sheetViews>
  <sheetFormatPr defaultRowHeight="14.5" x14ac:dyDescent="0.35"/>
  <sheetData>
    <row r="1" spans="1:4" x14ac:dyDescent="0.35">
      <c r="A1" t="s">
        <v>84</v>
      </c>
      <c r="B1" t="s">
        <v>16</v>
      </c>
      <c r="C1" t="s">
        <v>15</v>
      </c>
      <c r="D1" t="s">
        <v>88</v>
      </c>
    </row>
    <row r="2" spans="1:4" x14ac:dyDescent="0.35">
      <c r="A2" t="s">
        <v>86</v>
      </c>
      <c r="B2">
        <v>1</v>
      </c>
      <c r="C2">
        <v>1</v>
      </c>
      <c r="D2" t="s">
        <v>89</v>
      </c>
    </row>
    <row r="3" spans="1:4" x14ac:dyDescent="0.35">
      <c r="A3" t="s">
        <v>85</v>
      </c>
      <c r="B3">
        <v>2</v>
      </c>
      <c r="C3">
        <v>2</v>
      </c>
      <c r="D3" t="s">
        <v>90</v>
      </c>
    </row>
    <row r="4" spans="1:4" x14ac:dyDescent="0.35">
      <c r="B4">
        <v>3</v>
      </c>
      <c r="C4">
        <v>3</v>
      </c>
    </row>
    <row r="5" spans="1:4" x14ac:dyDescent="0.35">
      <c r="C5">
        <v>4</v>
      </c>
    </row>
    <row r="6" spans="1:4" x14ac:dyDescent="0.35">
      <c r="C6">
        <v>5</v>
      </c>
    </row>
    <row r="7" spans="1:4" x14ac:dyDescent="0.35">
      <c r="C7">
        <v>6</v>
      </c>
    </row>
    <row r="8" spans="1:4" x14ac:dyDescent="0.35">
      <c r="C8">
        <v>7</v>
      </c>
    </row>
    <row r="9" spans="1:4" x14ac:dyDescent="0.35">
      <c r="C9">
        <v>8</v>
      </c>
    </row>
    <row r="10" spans="1:4" x14ac:dyDescent="0.35">
      <c r="C10">
        <v>9</v>
      </c>
    </row>
    <row r="11" spans="1:4" x14ac:dyDescent="0.35">
      <c r="C11">
        <v>10</v>
      </c>
    </row>
    <row r="12" spans="1:4" x14ac:dyDescent="0.35">
      <c r="C12">
        <v>11</v>
      </c>
    </row>
    <row r="13" spans="1:4" x14ac:dyDescent="0.35">
      <c r="C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TLWM-DATA-GBMF-W1-2024</vt:lpstr>
      <vt:lpstr>Sheet1</vt:lpstr>
      <vt:lpstr>Module</vt:lpstr>
      <vt:lpstr>Statut</vt:lpstr>
      <vt:lpstr>Statut1</vt:lpstr>
      <vt:lpstr>Tome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ga-11</dc:creator>
  <cp:lastModifiedBy>ga-11</cp:lastModifiedBy>
  <dcterms:created xsi:type="dcterms:W3CDTF">2024-08-11T08:30:21Z</dcterms:created>
  <dcterms:modified xsi:type="dcterms:W3CDTF">2024-09-15T21:25:59Z</dcterms:modified>
</cp:coreProperties>
</file>