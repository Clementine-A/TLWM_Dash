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D\Desktop\cle\TLWM\dash\tlwm-dashboard\format\"/>
    </mc:Choice>
  </mc:AlternateContent>
  <xr:revisionPtr revIDLastSave="0" documentId="13_ncr:1_{7A140D9F-1166-4F16-A5D5-7D64287947CF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_IDENTIFICATION" sheetId="1" r:id="rId1"/>
    <sheet name="S1_SEMAINE" sheetId="2" r:id="rId2"/>
    <sheet name="S2_SEMAINE" sheetId="3" r:id="rId3"/>
    <sheet name="S3_SEMAINE" sheetId="4" r:id="rId4"/>
    <sheet name="S4_SEMAINE" sheetId="5" r:id="rId5"/>
    <sheet name="S5_SEMAINE" sheetId="6" r:id="rId6"/>
    <sheet name="6_SYNTHESE_MENSUEL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7" l="1"/>
  <c r="C18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D7" i="7"/>
  <c r="C7" i="7"/>
  <c r="B7" i="7"/>
  <c r="K20" i="6"/>
  <c r="I20" i="6"/>
  <c r="H20" i="6"/>
  <c r="G20" i="6"/>
  <c r="F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K20" i="5"/>
  <c r="I20" i="5"/>
  <c r="H20" i="5"/>
  <c r="G20" i="5"/>
  <c r="F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K20" i="4"/>
  <c r="J20" i="4"/>
  <c r="I20" i="4"/>
  <c r="H20" i="4"/>
  <c r="G20" i="4"/>
  <c r="F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K20" i="3"/>
  <c r="I20" i="3"/>
  <c r="H20" i="3"/>
  <c r="G20" i="3"/>
  <c r="F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K20" i="2"/>
  <c r="I20" i="2"/>
  <c r="H20" i="2"/>
  <c r="G20" i="2"/>
  <c r="F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G6" i="7" l="1"/>
  <c r="F6" i="7"/>
  <c r="E5" i="7"/>
  <c r="E6" i="7"/>
  <c r="D6" i="7"/>
  <c r="C6" i="7"/>
  <c r="B6" i="7"/>
  <c r="B10" i="7" s="1"/>
  <c r="J20" i="6"/>
  <c r="G5" i="7" s="1"/>
  <c r="J20" i="5"/>
  <c r="F5" i="7" s="1"/>
  <c r="J20" i="3"/>
  <c r="D5" i="7" s="1"/>
  <c r="J20" i="2"/>
  <c r="B5" i="7" l="1"/>
  <c r="C5" i="7"/>
</calcChain>
</file>

<file path=xl/sharedStrings.xml><?xml version="1.0" encoding="utf-8"?>
<sst xmlns="http://schemas.openxmlformats.org/spreadsheetml/2006/main" count="188" uniqueCount="97">
  <si>
    <t>Année</t>
  </si>
  <si>
    <t>Mois</t>
  </si>
  <si>
    <t>Code District</t>
  </si>
  <si>
    <t>Nom District</t>
  </si>
  <si>
    <t>Code Assemblée / Cellule</t>
  </si>
  <si>
    <t>Nom Assemblée / Cellule</t>
  </si>
  <si>
    <t>Type d'unité</t>
  </si>
  <si>
    <t>Pasteur / Responsable</t>
  </si>
  <si>
    <t>Contact (téléphone)</t>
  </si>
  <si>
    <t>Date de soumission</t>
  </si>
  <si>
    <t>Statut du rapport</t>
  </si>
  <si>
    <t>Du :</t>
  </si>
  <si>
    <t>Au :</t>
  </si>
  <si>
    <t>Date</t>
  </si>
  <si>
    <t>Jour</t>
  </si>
  <si>
    <t>Type d'activité</t>
  </si>
  <si>
    <t>Thème / Texte</t>
  </si>
  <si>
    <t>Orateur / Prédicateur</t>
  </si>
  <si>
    <t>Hommes</t>
  </si>
  <si>
    <t>Femmes</t>
  </si>
  <si>
    <t>Jeunes (&lt;35)</t>
  </si>
  <si>
    <t>Enfants (&lt;15)</t>
  </si>
  <si>
    <t>Assist. Totale</t>
  </si>
  <si>
    <t>Sauvés</t>
  </si>
  <si>
    <t>Observations</t>
  </si>
  <si>
    <t>TOTAUX SEMAINE 1</t>
  </si>
  <si>
    <t>Personnes ajoutées à l'Église cette semaine :</t>
  </si>
  <si>
    <t>Témoignages cette semaine :</t>
  </si>
  <si>
    <t>Invités amenés cette semaine :</t>
  </si>
  <si>
    <t>Observations / Points de prière :</t>
  </si>
  <si>
    <t>ℹ️  Semaine 2 du mois. Saisir une ligne par activité (culte, réunion, séminaire, mission…)</t>
  </si>
  <si>
    <t>TOTAUX SEMAINE 2</t>
  </si>
  <si>
    <t>📅  SEMAINE 3 — Activités Hebdomadaires</t>
  </si>
  <si>
    <t>ℹ️  Semaine 3 du mois. Saisir une ligne par activité (culte, réunion, séminaire, mission…)</t>
  </si>
  <si>
    <t>TOTAUX SEMAINE 3</t>
  </si>
  <si>
    <t>📅  SEMAINE 4 — Activités Hebdomadaires</t>
  </si>
  <si>
    <t>ℹ️  Semaine 4 du mois. Saisir une ligne par activité (culte, réunion, séminaire, mission…)</t>
  </si>
  <si>
    <t>TOTAUX SEMAINE 4</t>
  </si>
  <si>
    <t>📅  SEMAINE 5 — Activités Hebdomadaires</t>
  </si>
  <si>
    <t>ℹ️  Semaine 5 du mois. Saisir une ligne par activité (culte, réunion, séminaire, mission…)</t>
  </si>
  <si>
    <t>TOTAUX SEMAINE 5</t>
  </si>
  <si>
    <t>ℹ️  Les totaux des semaines sont automatiquement additionnés ci-dessous. Compléter les sections RH et Finances.</t>
  </si>
  <si>
    <t xml:space="preserve">  ▸  TOTAUX MISSION DU MOIS</t>
  </si>
  <si>
    <t>Total</t>
  </si>
  <si>
    <t>S1</t>
  </si>
  <si>
    <t>S2</t>
  </si>
  <si>
    <t>S3</t>
  </si>
  <si>
    <t>S4</t>
  </si>
  <si>
    <t>S5</t>
  </si>
  <si>
    <t>Assistance totale (cultes + réunions + missions)</t>
  </si>
  <si>
    <t>Personnes Sauvées</t>
  </si>
  <si>
    <t>Ajoutés à l'Église</t>
  </si>
  <si>
    <t>Témoignages</t>
  </si>
  <si>
    <t>Invités amenés</t>
  </si>
  <si>
    <t>Taux de conversion (Ajoutés / Sauvés × 100)</t>
  </si>
  <si>
    <t xml:space="preserve">  ▸  ACTIVITÉS — DÉCOMPTE DU MOIS</t>
  </si>
  <si>
    <t>Nombre de séminaires EN assemblée</t>
  </si>
  <si>
    <t>Nombre de séminaires HORS assemblée</t>
  </si>
  <si>
    <t>Nombre de cultes / réunions tenus</t>
  </si>
  <si>
    <t>Nombre de semaines actives</t>
  </si>
  <si>
    <t xml:space="preserve">  ▸  RESSOURCES HUMAINES — Snapshot Fin de Mois</t>
  </si>
  <si>
    <t>Membres actifs total (fin du mois)</t>
  </si>
  <si>
    <t>Snapshot cumulatif</t>
  </si>
  <si>
    <t>Membres nouveaux ajoutés ce mois</t>
  </si>
  <si>
    <t>Membres transférés entrants</t>
  </si>
  <si>
    <t>Membres transférés sortants</t>
  </si>
  <si>
    <t>Membres décédés ce mois</t>
  </si>
  <si>
    <t>Nombre de pasteurs</t>
  </si>
  <si>
    <t>Nombre de prédicateurs accrédités</t>
  </si>
  <si>
    <t>Nombre de diacres / responsables</t>
  </si>
  <si>
    <t>Nombre de groupes de prière</t>
  </si>
  <si>
    <t xml:space="preserve">  ▸  FINANCES DU MOIS (FCFA)</t>
  </si>
  <si>
    <t>Offrandes (total du mois)</t>
  </si>
  <si>
    <t>Dîmes (total du mois)</t>
  </si>
  <si>
    <t>DOVOCOQ</t>
  </si>
  <si>
    <t>Autres libéralités</t>
  </si>
  <si>
    <t>TOTAL RECETTES</t>
  </si>
  <si>
    <t>Dépenses locales (fonctionnement)</t>
  </si>
  <si>
    <t>Remontée au District</t>
  </si>
  <si>
    <t>Observations finances</t>
  </si>
  <si>
    <t xml:space="preserve">  ▸  RÉUSSITES, DIFFICULTÉS &amp; PERSPECTIVES</t>
  </si>
  <si>
    <t>Type</t>
  </si>
  <si>
    <t>Catégorie</t>
  </si>
  <si>
    <t>Description</t>
  </si>
  <si>
    <t>Statut</t>
  </si>
  <si>
    <t>Actions prévues</t>
  </si>
  <si>
    <t>Réussite</t>
  </si>
  <si>
    <t xml:space="preserve">  Ce fichier couvre UN MOIS complet. Remplir d'abord cet onglet, puis les onglets SEMAINE et SYNTHESE.</t>
  </si>
  <si>
    <t>Jeunes</t>
  </si>
  <si>
    <t>Les plus jeunes</t>
  </si>
  <si>
    <t xml:space="preserve">BP </t>
  </si>
  <si>
    <t xml:space="preserve"> Une ligne par point. Type : Réussite / Difficulté / Perspective / Besoin / Prière</t>
  </si>
  <si>
    <t xml:space="preserve">  SYNTHÈSE MENSUELLE — Assemblée / Cellule</t>
  </si>
  <si>
    <t>RAPPORT MENSUEL - ASSEMBLÉE / CELLULE
TLWM TOGO</t>
  </si>
  <si>
    <t xml:space="preserve">  SEMAINE 1 - Activités Hebdomadaires</t>
  </si>
  <si>
    <t xml:space="preserve"> Semaine 1 du mois. Saisir une ligne par activité (culte, réunion, séminaire, mission…)</t>
  </si>
  <si>
    <t xml:space="preserve"> SEMAINE 2 - Activités Hebdomadaires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</si>
</sst>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4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78716C"/>
      <name val="Calibri"/>
    </font>
    <font>
      <b/>
      <sz val="10"/>
      <color rgb="FFFFFFFF"/>
      <name val="Calibri"/>
    </font>
    <font>
      <sz val="11"/>
      <color rgb="FF1E293B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sz val="10"/>
      <color rgb="FF1E293B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E293B"/>
      <name val="Calibri"/>
    </font>
    <font>
      <i/>
      <sz val="9"/>
      <color rgb="FF64748B"/>
      <name val="Calibri"/>
    </font>
    <font>
      <sz val="10"/>
      <color rgb="FFFFFFFF"/>
      <name val="Calibri"/>
    </font>
    <font>
      <sz val="11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BEB"/>
      </patternFill>
    </fill>
    <fill>
      <patternFill patternType="solid">
        <fgColor rgb="FFEEF2FF"/>
      </patternFill>
    </fill>
    <fill>
      <patternFill patternType="solid">
        <fgColor rgb="FF334155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0891B2"/>
      </patternFill>
    </fill>
    <fill>
      <patternFill patternType="solid">
        <fgColor rgb="FFE0F2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97706"/>
      </patternFill>
    </fill>
    <fill>
      <patternFill patternType="solid">
        <fgColor rgb="FF0E7490"/>
      </patternFill>
    </fill>
    <fill>
      <patternFill patternType="solid">
        <fgColor rgb="FF155E75"/>
      </patternFill>
    </fill>
    <fill>
      <patternFill patternType="solid">
        <fgColor rgb="FFCA8A04"/>
      </patternFill>
    </fill>
    <fill>
      <patternFill patternType="solid">
        <fgColor rgb="FFFEF9C3"/>
      </patternFill>
    </fill>
    <fill>
      <patternFill patternType="solid">
        <fgColor rgb="FF6D28D9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047857"/>
      </patternFill>
    </fill>
  </fills>
  <borders count="7">
    <border>
      <left/>
      <right/>
      <top/>
      <bottom/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 style="medium">
        <color rgb="FF64748B"/>
      </bottom>
      <diagonal/>
    </border>
    <border>
      <left/>
      <right/>
      <top style="medium">
        <color rgb="FF64748B"/>
      </top>
      <bottom style="medium">
        <color rgb="FF64748B"/>
      </bottom>
      <diagonal/>
    </border>
    <border>
      <left/>
      <right style="medium">
        <color rgb="FF64748B"/>
      </right>
      <top style="medium">
        <color rgb="FF64748B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19" borderId="4" xfId="0" applyFont="1" applyFill="1" applyBorder="1" applyAlignment="1">
      <alignment horizontal="left" vertical="center" wrapText="1"/>
    </xf>
    <xf numFmtId="0" fontId="3" fillId="20" borderId="4" xfId="0" applyFont="1" applyFill="1" applyBorder="1" applyAlignment="1">
      <alignment horizontal="left" vertical="center" wrapText="1"/>
    </xf>
    <xf numFmtId="164" fontId="9" fillId="21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left" vertical="center" wrapText="1"/>
    </xf>
    <xf numFmtId="3" fontId="13" fillId="24" borderId="1" xfId="0" applyNumberFormat="1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6" fillId="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topLeftCell="A4" workbookViewId="0">
      <selection activeCell="A13" sqref="A13:XFD13"/>
    </sheetView>
  </sheetViews>
  <sheetFormatPr baseColWidth="10" defaultColWidth="8.7265625" defaultRowHeight="14.5"/>
  <cols>
    <col min="1" max="1" width="36" customWidth="1"/>
    <col min="2" max="2" width="34" customWidth="1"/>
    <col min="3" max="3" width="28" customWidth="1"/>
  </cols>
  <sheetData>
    <row r="1" spans="1:3" ht="48" customHeight="1">
      <c r="A1" s="32" t="s">
        <v>93</v>
      </c>
      <c r="B1" s="33"/>
      <c r="C1" s="34"/>
    </row>
    <row r="2" spans="1:3" ht="18" customHeight="1">
      <c r="A2" s="35" t="s">
        <v>87</v>
      </c>
      <c r="B2" s="36"/>
      <c r="C2" s="36"/>
    </row>
    <row r="3" spans="1:3" ht="22" customHeight="1">
      <c r="A3" s="1" t="s">
        <v>0</v>
      </c>
      <c r="B3" s="2"/>
    </row>
    <row r="4" spans="1:3" ht="22" customHeight="1">
      <c r="A4" s="3" t="s">
        <v>1</v>
      </c>
      <c r="B4" s="2"/>
    </row>
    <row r="5" spans="1:3" ht="22" customHeight="1">
      <c r="A5" s="1" t="s">
        <v>2</v>
      </c>
      <c r="B5" s="2"/>
    </row>
    <row r="6" spans="1:3" ht="22" customHeight="1">
      <c r="A6" s="3" t="s">
        <v>3</v>
      </c>
      <c r="B6" s="2"/>
    </row>
    <row r="7" spans="1:3" ht="22" customHeight="1">
      <c r="A7" s="1" t="s">
        <v>4</v>
      </c>
      <c r="B7" s="2"/>
    </row>
    <row r="8" spans="1:3" ht="22" customHeight="1">
      <c r="A8" s="3" t="s">
        <v>5</v>
      </c>
      <c r="B8" s="2"/>
    </row>
    <row r="9" spans="1:3" ht="22" customHeight="1" thickBot="1">
      <c r="A9" s="1" t="s">
        <v>6</v>
      </c>
      <c r="B9" s="2"/>
    </row>
    <row r="10" spans="1:3" ht="22" customHeight="1" thickBot="1">
      <c r="A10" s="1" t="s">
        <v>7</v>
      </c>
      <c r="B10" s="2"/>
    </row>
    <row r="11" spans="1:3" ht="22" customHeight="1">
      <c r="A11" s="3" t="s">
        <v>8</v>
      </c>
      <c r="B11" s="2"/>
    </row>
    <row r="12" spans="1:3" ht="22" customHeight="1">
      <c r="A12" s="1" t="s">
        <v>9</v>
      </c>
      <c r="B12" s="2"/>
    </row>
    <row r="13" spans="1:3" ht="22" customHeight="1">
      <c r="A13" s="3" t="s">
        <v>10</v>
      </c>
      <c r="B13" s="2"/>
    </row>
  </sheetData>
  <mergeCells count="2">
    <mergeCell ref="A1:C1"/>
    <mergeCell ref="A2:C2"/>
  </mergeCells>
  <dataValidations count="5">
    <dataValidation type="list" allowBlank="1" sqref="B3" xr:uid="{00000000-0002-0000-0000-000000000000}">
      <formula1>"2024,2025,2026,2027"</formula1>
    </dataValidation>
    <dataValidation type="list" allowBlank="1" sqref="B4" xr:uid="{00000000-0002-0000-0000-000001000000}">
      <formula1>"Janvier,Février,Mars,Avril,Mai,Juin,Juillet,Août,Septembre,Octobre,Novembre,Décembre"</formula1>
    </dataValidation>
    <dataValidation type="list" allowBlank="1" sqref="B6" xr:uid="{00000000-0002-0000-0000-000002000000}">
      <formula1>"Lomé,Kpalimé,Atakpamé,Sokodé,Kara,Dapaong,Notsé,Tsévié,Aného,Vogan,Bassar"</formula1>
    </dataValidation>
    <dataValidation type="list" allowBlank="1" sqref="B9" xr:uid="{00000000-0002-0000-0000-000003000000}">
      <formula1>"Assemblée,Cellule"</formula1>
    </dataValidation>
    <dataValidation type="list" allowBlank="1" sqref="B13" xr:uid="{00000000-0002-0000-0000-000004000000}">
      <formula1>"Complet,Partiel,Provisoire"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topLeftCell="C1" workbookViewId="0">
      <selection activeCell="C10" sqref="C10"/>
    </sheetView>
  </sheetViews>
  <sheetFormatPr baseColWidth="10" defaultColWidth="8.7265625" defaultRowHeight="14.5"/>
  <cols>
    <col min="1" max="1" width="11" customWidth="1"/>
    <col min="2" max="2" width="10" customWidth="1"/>
    <col min="3" max="3" width="28" customWidth="1"/>
    <col min="4" max="4" width="30" customWidth="1"/>
    <col min="5" max="5" width="24" customWidth="1"/>
    <col min="6" max="7" width="10" customWidth="1"/>
    <col min="8" max="9" width="12" customWidth="1"/>
    <col min="10" max="10" width="14" customWidth="1"/>
    <col min="11" max="11" width="9" customWidth="1"/>
    <col min="12" max="12" width="30" customWidth="1"/>
  </cols>
  <sheetData>
    <row r="1" spans="1:12" ht="38" customHeight="1">
      <c r="A1" s="43" t="s">
        <v>94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18" customHeight="1">
      <c r="A2" s="35" t="s">
        <v>95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41" t="s">
        <v>11</v>
      </c>
      <c r="B3" s="5"/>
      <c r="C3" s="4" t="s">
        <v>12</v>
      </c>
      <c r="D3" s="5"/>
    </row>
    <row r="4" spans="1:12" ht="2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88</v>
      </c>
      <c r="I4" s="6" t="s">
        <v>89</v>
      </c>
      <c r="J4" s="6" t="s">
        <v>22</v>
      </c>
      <c r="K4" s="6" t="s">
        <v>23</v>
      </c>
      <c r="L4" s="6" t="s">
        <v>24</v>
      </c>
    </row>
    <row r="5" spans="1:12" ht="20" customHeight="1">
      <c r="A5" s="7"/>
      <c r="B5" s="7"/>
      <c r="C5" s="7"/>
      <c r="D5" s="7"/>
      <c r="E5" s="7"/>
      <c r="F5" s="7"/>
      <c r="G5" s="7"/>
      <c r="H5" s="7"/>
      <c r="I5" s="7"/>
      <c r="J5" s="7">
        <f t="shared" ref="J5:J19" si="0">IFERROR(F5+G5+H5+I5,"")</f>
        <v>0</v>
      </c>
      <c r="K5" s="7"/>
      <c r="L5" s="7"/>
    </row>
    <row r="6" spans="1:12" ht="20" customHeight="1">
      <c r="A6" s="8"/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/>
      <c r="L6" s="8"/>
    </row>
    <row r="7" spans="1:12" ht="20" customHeight="1">
      <c r="A7" s="7"/>
      <c r="B7" s="7"/>
      <c r="C7" s="7"/>
      <c r="D7" s="7"/>
      <c r="E7" s="7"/>
      <c r="F7" s="7"/>
      <c r="G7" s="7"/>
      <c r="H7" s="7"/>
      <c r="I7" s="7"/>
      <c r="J7" s="7">
        <f t="shared" si="0"/>
        <v>0</v>
      </c>
      <c r="K7" s="7"/>
      <c r="L7" s="7"/>
    </row>
    <row r="8" spans="1:12" ht="20" customHeight="1">
      <c r="A8" s="8"/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/>
      <c r="L8" s="8"/>
    </row>
    <row r="9" spans="1:12" ht="20" customHeight="1">
      <c r="A9" s="7"/>
      <c r="B9" s="7"/>
      <c r="C9" s="7"/>
      <c r="D9" s="7"/>
      <c r="E9" s="7"/>
      <c r="F9" s="7"/>
      <c r="G9" s="7"/>
      <c r="H9" s="7"/>
      <c r="I9" s="7"/>
      <c r="J9" s="7">
        <f t="shared" si="0"/>
        <v>0</v>
      </c>
      <c r="K9" s="7"/>
      <c r="L9" s="7"/>
    </row>
    <row r="10" spans="1:12" ht="20" customHeight="1">
      <c r="A10" s="8"/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/>
      <c r="L10" s="8"/>
    </row>
    <row r="11" spans="1:12" ht="20" customHeight="1">
      <c r="A11" s="7"/>
      <c r="B11" s="7"/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7"/>
      <c r="L11" s="7"/>
    </row>
    <row r="12" spans="1:12" ht="20" customHeight="1">
      <c r="A12" s="8"/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/>
      <c r="L12" s="8"/>
    </row>
    <row r="13" spans="1:12" ht="20" customHeight="1">
      <c r="A13" s="7"/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/>
      <c r="L13" s="7"/>
    </row>
    <row r="14" spans="1:12" ht="20" customHeight="1">
      <c r="A14" s="8"/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/>
      <c r="L14" s="8"/>
    </row>
    <row r="15" spans="1:12" ht="20" customHeight="1">
      <c r="A15" s="7"/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/>
      <c r="L15" s="7"/>
    </row>
    <row r="16" spans="1:12" ht="20" customHeight="1">
      <c r="A16" s="8"/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/>
      <c r="L16" s="8"/>
    </row>
    <row r="17" spans="1:12" ht="20" customHeight="1">
      <c r="A17" s="7"/>
      <c r="B17" s="7"/>
      <c r="C17" s="7"/>
      <c r="D17" s="7"/>
      <c r="E17" s="7"/>
      <c r="F17" s="7"/>
      <c r="G17" s="7"/>
      <c r="H17" s="7"/>
      <c r="I17" s="7"/>
      <c r="J17" s="7">
        <f t="shared" si="0"/>
        <v>0</v>
      </c>
      <c r="K17" s="7"/>
      <c r="L17" s="7"/>
    </row>
    <row r="18" spans="1:12" ht="20" customHeight="1">
      <c r="A18" s="8"/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/>
      <c r="L18" s="8"/>
    </row>
    <row r="19" spans="1:12" ht="20" customHeight="1">
      <c r="A19" s="7"/>
      <c r="B19" s="7"/>
      <c r="C19" s="7"/>
      <c r="D19" s="7"/>
      <c r="E19" s="7"/>
      <c r="F19" s="7"/>
      <c r="G19" s="7"/>
      <c r="H19" s="7"/>
      <c r="I19" s="7"/>
      <c r="J19" s="7">
        <f t="shared" si="0"/>
        <v>0</v>
      </c>
      <c r="K19" s="7"/>
      <c r="L19" s="7"/>
    </row>
    <row r="20" spans="1:12" ht="24" customHeight="1">
      <c r="A20" s="37" t="s">
        <v>25</v>
      </c>
      <c r="B20" s="36"/>
      <c r="C20" s="36"/>
      <c r="D20" s="36"/>
      <c r="E20" s="36"/>
      <c r="F20" s="9">
        <f t="shared" ref="F20:K20" si="1">SUM(F5:F19)</f>
        <v>0</v>
      </c>
      <c r="G20" s="9">
        <f t="shared" si="1"/>
        <v>0</v>
      </c>
      <c r="H20" s="9">
        <f t="shared" si="1"/>
        <v>0</v>
      </c>
      <c r="I20" s="9">
        <f t="shared" si="1"/>
        <v>0</v>
      </c>
      <c r="J20" s="9">
        <f t="shared" si="1"/>
        <v>0</v>
      </c>
      <c r="K20" s="9">
        <f t="shared" si="1"/>
        <v>0</v>
      </c>
    </row>
    <row r="22" spans="1:12" ht="22" customHeight="1">
      <c r="A22" s="45" t="s">
        <v>26</v>
      </c>
      <c r="B22" s="39"/>
      <c r="C22" s="39"/>
      <c r="D22" s="39"/>
      <c r="E22" s="40"/>
      <c r="F22" s="10"/>
    </row>
    <row r="23" spans="1:12" ht="22" customHeight="1">
      <c r="A23" s="44" t="s">
        <v>27</v>
      </c>
      <c r="B23" s="39"/>
      <c r="C23" s="39"/>
      <c r="D23" s="39"/>
      <c r="E23" s="40"/>
      <c r="F23" s="12"/>
    </row>
    <row r="24" spans="1:12" ht="22" customHeight="1">
      <c r="A24" s="38" t="s">
        <v>28</v>
      </c>
      <c r="B24" s="39"/>
      <c r="C24" s="39"/>
      <c r="D24" s="39"/>
      <c r="E24" s="40"/>
      <c r="F24" s="14"/>
    </row>
    <row r="25" spans="1:12" ht="22" customHeight="1">
      <c r="A25" s="42" t="s">
        <v>29</v>
      </c>
      <c r="B25" s="39"/>
      <c r="C25" s="39"/>
      <c r="D25" s="39"/>
      <c r="E25" s="40"/>
      <c r="F25" s="46"/>
      <c r="G25" s="36"/>
      <c r="H25" s="36"/>
      <c r="I25" s="36"/>
      <c r="J25" s="36"/>
      <c r="K25" s="36"/>
      <c r="L25" s="36"/>
    </row>
  </sheetData>
  <mergeCells count="9">
    <mergeCell ref="A1:L1"/>
    <mergeCell ref="A23:E23"/>
    <mergeCell ref="A22:E22"/>
    <mergeCell ref="F25:L25"/>
    <mergeCell ref="A2:L2"/>
    <mergeCell ref="A20:E20"/>
    <mergeCell ref="A24:E24"/>
    <mergeCell ref="A3"/>
    <mergeCell ref="A25:E25"/>
  </mergeCells>
  <dataValidations count="2">
    <dataValidation type="list" allowBlank="1" sqref="C5:C19" xr:uid="{00000000-0002-0000-0100-000000000000}">
      <formula1>"Culte Dimanche,Culte Mercredi,Culte Vendredi,Réunion Jeunesse,Réunion Femmes,Prière,Cellule,Séminaire en Assemblée,Séminaire Hors Assemblée,Mission de Terrain,Croisade,Occasion Spéciale"</formula1>
    </dataValidation>
    <dataValidation type="list" allowBlank="1" sqref="B5:B19" xr:uid="{00000000-0002-0000-0100-000001000000}">
      <formula1>"Lundi,Mardi,Mercredi,Jeudi,Vendredi,Samedi,Dimanche"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showGridLines="0" tabSelected="1" topLeftCell="F1" workbookViewId="0">
      <selection activeCell="O7" sqref="O7"/>
    </sheetView>
  </sheetViews>
  <sheetFormatPr baseColWidth="10" defaultColWidth="8.7265625" defaultRowHeight="14.5"/>
  <cols>
    <col min="1" max="1" width="11" customWidth="1"/>
    <col min="2" max="2" width="10" customWidth="1"/>
    <col min="3" max="3" width="28" customWidth="1"/>
    <col min="4" max="4" width="30" customWidth="1"/>
    <col min="5" max="5" width="24" customWidth="1"/>
    <col min="6" max="7" width="10" customWidth="1"/>
    <col min="8" max="9" width="12" customWidth="1"/>
    <col min="10" max="10" width="14" customWidth="1"/>
    <col min="11" max="11" width="9" customWidth="1"/>
    <col min="12" max="12" width="30" customWidth="1"/>
  </cols>
  <sheetData>
    <row r="1" spans="1:12" ht="38" customHeight="1">
      <c r="A1" s="43" t="s">
        <v>96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18" customHeight="1">
      <c r="A2" s="35" t="s">
        <v>30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41" t="s">
        <v>11</v>
      </c>
      <c r="B3" s="5"/>
      <c r="C3" s="4" t="s">
        <v>12</v>
      </c>
      <c r="D3" s="5"/>
    </row>
    <row r="4" spans="1:12" ht="2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88</v>
      </c>
      <c r="I4" s="6" t="s">
        <v>89</v>
      </c>
      <c r="J4" s="6" t="s">
        <v>22</v>
      </c>
      <c r="K4" s="6" t="s">
        <v>23</v>
      </c>
      <c r="L4" s="6" t="s">
        <v>24</v>
      </c>
    </row>
    <row r="5" spans="1:12" ht="20" customHeight="1">
      <c r="A5" s="7"/>
      <c r="B5" s="7"/>
      <c r="C5" s="7"/>
      <c r="D5" s="7"/>
      <c r="E5" s="7"/>
      <c r="F5" s="7"/>
      <c r="G5" s="7"/>
      <c r="H5" s="7"/>
      <c r="I5" s="7"/>
      <c r="J5" s="7">
        <f t="shared" ref="J5:J19" si="0">IFERROR(F5+G5+H5+I5,"")</f>
        <v>0</v>
      </c>
      <c r="K5" s="7"/>
      <c r="L5" s="7"/>
    </row>
    <row r="6" spans="1:12" ht="20" customHeight="1">
      <c r="A6" s="8"/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/>
      <c r="L6" s="8"/>
    </row>
    <row r="7" spans="1:12" ht="20" customHeight="1">
      <c r="A7" s="7"/>
      <c r="B7" s="7"/>
      <c r="C7" s="7"/>
      <c r="D7" s="7"/>
      <c r="E7" s="7"/>
      <c r="F7" s="7"/>
      <c r="G7" s="7"/>
      <c r="H7" s="7"/>
      <c r="I7" s="7"/>
      <c r="J7" s="7">
        <f t="shared" si="0"/>
        <v>0</v>
      </c>
      <c r="K7" s="7"/>
      <c r="L7" s="7"/>
    </row>
    <row r="8" spans="1:12" ht="20" customHeight="1">
      <c r="A8" s="8"/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/>
      <c r="L8" s="8"/>
    </row>
    <row r="9" spans="1:12" ht="20" customHeight="1">
      <c r="A9" s="7"/>
      <c r="B9" s="7"/>
      <c r="C9" s="7"/>
      <c r="D9" s="7"/>
      <c r="E9" s="7"/>
      <c r="F9" s="7"/>
      <c r="G9" s="7"/>
      <c r="H9" s="7"/>
      <c r="I9" s="7"/>
      <c r="J9" s="7">
        <f t="shared" si="0"/>
        <v>0</v>
      </c>
      <c r="K9" s="7"/>
      <c r="L9" s="7"/>
    </row>
    <row r="10" spans="1:12" ht="20" customHeight="1">
      <c r="A10" s="8"/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/>
      <c r="L10" s="8"/>
    </row>
    <row r="11" spans="1:12" ht="20" customHeight="1">
      <c r="A11" s="7"/>
      <c r="B11" s="7"/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7"/>
      <c r="L11" s="7"/>
    </row>
    <row r="12" spans="1:12" ht="20" customHeight="1">
      <c r="A12" s="8"/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/>
      <c r="L12" s="8"/>
    </row>
    <row r="13" spans="1:12" ht="20" customHeight="1">
      <c r="A13" s="7"/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/>
      <c r="L13" s="7"/>
    </row>
    <row r="14" spans="1:12" ht="20" customHeight="1">
      <c r="A14" s="8"/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/>
      <c r="L14" s="8"/>
    </row>
    <row r="15" spans="1:12" ht="20" customHeight="1">
      <c r="A15" s="7"/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/>
      <c r="L15" s="7"/>
    </row>
    <row r="16" spans="1:12" ht="20" customHeight="1">
      <c r="A16" s="8"/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/>
      <c r="L16" s="8"/>
    </row>
    <row r="17" spans="1:12" ht="20" customHeight="1">
      <c r="A17" s="7"/>
      <c r="B17" s="7"/>
      <c r="C17" s="7"/>
      <c r="D17" s="7"/>
      <c r="E17" s="7"/>
      <c r="F17" s="7"/>
      <c r="G17" s="7"/>
      <c r="H17" s="7"/>
      <c r="I17" s="7"/>
      <c r="J17" s="7">
        <f t="shared" si="0"/>
        <v>0</v>
      </c>
      <c r="K17" s="7"/>
      <c r="L17" s="7"/>
    </row>
    <row r="18" spans="1:12" ht="20" customHeight="1">
      <c r="A18" s="8"/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/>
      <c r="L18" s="8"/>
    </row>
    <row r="19" spans="1:12" ht="20" customHeight="1">
      <c r="A19" s="7"/>
      <c r="B19" s="7"/>
      <c r="C19" s="7"/>
      <c r="D19" s="7"/>
      <c r="E19" s="7"/>
      <c r="F19" s="7"/>
      <c r="G19" s="7"/>
      <c r="H19" s="7"/>
      <c r="I19" s="7"/>
      <c r="J19" s="7">
        <f t="shared" si="0"/>
        <v>0</v>
      </c>
      <c r="K19" s="7"/>
      <c r="L19" s="7"/>
    </row>
    <row r="20" spans="1:12" ht="24" customHeight="1">
      <c r="A20" s="37" t="s">
        <v>31</v>
      </c>
      <c r="B20" s="36"/>
      <c r="C20" s="36"/>
      <c r="D20" s="36"/>
      <c r="E20" s="36"/>
      <c r="F20" s="9">
        <f t="shared" ref="F20:K20" si="1">SUM(F5:F19)</f>
        <v>0</v>
      </c>
      <c r="G20" s="9">
        <f t="shared" si="1"/>
        <v>0</v>
      </c>
      <c r="H20" s="9">
        <f t="shared" si="1"/>
        <v>0</v>
      </c>
      <c r="I20" s="9">
        <f t="shared" si="1"/>
        <v>0</v>
      </c>
      <c r="J20" s="9">
        <f t="shared" si="1"/>
        <v>0</v>
      </c>
      <c r="K20" s="9">
        <f t="shared" si="1"/>
        <v>0</v>
      </c>
    </row>
    <row r="22" spans="1:12" ht="22" customHeight="1">
      <c r="A22" s="45" t="s">
        <v>26</v>
      </c>
      <c r="B22" s="39"/>
      <c r="C22" s="39"/>
      <c r="D22" s="39"/>
      <c r="E22" s="40"/>
      <c r="F22" s="10"/>
    </row>
    <row r="23" spans="1:12" ht="22" customHeight="1">
      <c r="A23" s="44" t="s">
        <v>27</v>
      </c>
      <c r="B23" s="39"/>
      <c r="C23" s="39"/>
      <c r="D23" s="39"/>
      <c r="E23" s="40"/>
      <c r="F23" s="12"/>
    </row>
    <row r="24" spans="1:12" ht="22" customHeight="1">
      <c r="A24" s="38" t="s">
        <v>28</v>
      </c>
      <c r="B24" s="39"/>
      <c r="C24" s="39"/>
      <c r="D24" s="39"/>
      <c r="E24" s="40"/>
      <c r="F24" s="14"/>
    </row>
    <row r="25" spans="1:12" ht="22" customHeight="1">
      <c r="A25" s="42" t="s">
        <v>29</v>
      </c>
      <c r="B25" s="39"/>
      <c r="C25" s="39"/>
      <c r="D25" s="39"/>
      <c r="E25" s="40"/>
      <c r="F25" s="46"/>
      <c r="G25" s="36"/>
      <c r="H25" s="36"/>
      <c r="I25" s="36"/>
      <c r="J25" s="36"/>
      <c r="K25" s="36"/>
      <c r="L25" s="36"/>
    </row>
  </sheetData>
  <mergeCells count="9">
    <mergeCell ref="A1:L1"/>
    <mergeCell ref="A23:E23"/>
    <mergeCell ref="A22:E22"/>
    <mergeCell ref="F25:L25"/>
    <mergeCell ref="A2:L2"/>
    <mergeCell ref="A20:E20"/>
    <mergeCell ref="A24:E24"/>
    <mergeCell ref="A3"/>
    <mergeCell ref="A25:E25"/>
  </mergeCells>
  <dataValidations count="2">
    <dataValidation type="list" allowBlank="1" sqref="C5:C19" xr:uid="{00000000-0002-0000-0200-000000000000}">
      <formula1>"Culte Dimanche,Culte Mercredi,Culte Vendredi,Réunion Jeunesse,Réunion Femmes,Prière,Cellule,Séminaire en Assemblée,Séminaire Hors Assemblée,Mission de Terrain,Croisade,Occasion Spéciale"</formula1>
    </dataValidation>
    <dataValidation type="list" allowBlank="1" sqref="B5:B19" xr:uid="{00000000-0002-0000-0200-000001000000}">
      <formula1>"Lundi,Mardi,Mercredi,Jeudi,Vendredi,Samedi,Dimanche"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5"/>
  <sheetViews>
    <sheetView showGridLines="0" workbookViewId="0">
      <selection sqref="A1:L1"/>
    </sheetView>
  </sheetViews>
  <sheetFormatPr baseColWidth="10" defaultColWidth="8.7265625" defaultRowHeight="14.5"/>
  <cols>
    <col min="1" max="1" width="11" customWidth="1"/>
    <col min="2" max="2" width="10" customWidth="1"/>
    <col min="3" max="3" width="28" customWidth="1"/>
    <col min="4" max="4" width="30" customWidth="1"/>
    <col min="5" max="5" width="24" customWidth="1"/>
    <col min="6" max="7" width="10" customWidth="1"/>
    <col min="8" max="9" width="12" customWidth="1"/>
    <col min="10" max="10" width="14" customWidth="1"/>
    <col min="11" max="11" width="9" customWidth="1"/>
    <col min="12" max="12" width="30" customWidth="1"/>
  </cols>
  <sheetData>
    <row r="1" spans="1:12" ht="38" customHeight="1">
      <c r="A1" s="4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18" customHeight="1">
      <c r="A2" s="35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41" t="s">
        <v>11</v>
      </c>
      <c r="B3" s="5"/>
      <c r="C3" s="4" t="s">
        <v>12</v>
      </c>
      <c r="D3" s="5"/>
    </row>
    <row r="4" spans="1:12" ht="2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</row>
    <row r="5" spans="1:12" ht="20" customHeight="1">
      <c r="A5" s="7"/>
      <c r="B5" s="7"/>
      <c r="C5" s="7"/>
      <c r="D5" s="7"/>
      <c r="E5" s="7"/>
      <c r="F5" s="7"/>
      <c r="G5" s="7"/>
      <c r="H5" s="7"/>
      <c r="I5" s="7"/>
      <c r="J5" s="7">
        <f t="shared" ref="J5:J19" si="0">IFERROR(F5+G5+H5+I5,"")</f>
        <v>0</v>
      </c>
      <c r="K5" s="7"/>
      <c r="L5" s="7"/>
    </row>
    <row r="6" spans="1:12" ht="20" customHeight="1">
      <c r="A6" s="8"/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/>
      <c r="L6" s="8"/>
    </row>
    <row r="7" spans="1:12" ht="20" customHeight="1">
      <c r="A7" s="7"/>
      <c r="B7" s="7"/>
      <c r="C7" s="7"/>
      <c r="D7" s="7"/>
      <c r="E7" s="7"/>
      <c r="F7" s="7"/>
      <c r="G7" s="7"/>
      <c r="H7" s="7"/>
      <c r="I7" s="7"/>
      <c r="J7" s="7">
        <f t="shared" si="0"/>
        <v>0</v>
      </c>
      <c r="K7" s="7"/>
      <c r="L7" s="7"/>
    </row>
    <row r="8" spans="1:12" ht="20" customHeight="1">
      <c r="A8" s="8"/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/>
      <c r="L8" s="8"/>
    </row>
    <row r="9" spans="1:12" ht="20" customHeight="1">
      <c r="A9" s="7"/>
      <c r="B9" s="7"/>
      <c r="C9" s="7"/>
      <c r="D9" s="7"/>
      <c r="E9" s="7"/>
      <c r="F9" s="7"/>
      <c r="G9" s="7"/>
      <c r="H9" s="7"/>
      <c r="I9" s="7"/>
      <c r="J9" s="7">
        <f t="shared" si="0"/>
        <v>0</v>
      </c>
      <c r="K9" s="7"/>
      <c r="L9" s="7"/>
    </row>
    <row r="10" spans="1:12" ht="20" customHeight="1">
      <c r="A10" s="8"/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/>
      <c r="L10" s="8"/>
    </row>
    <row r="11" spans="1:12" ht="20" customHeight="1">
      <c r="A11" s="7"/>
      <c r="B11" s="7"/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7"/>
      <c r="L11" s="7"/>
    </row>
    <row r="12" spans="1:12" ht="20" customHeight="1">
      <c r="A12" s="8"/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/>
      <c r="L12" s="8"/>
    </row>
    <row r="13" spans="1:12" ht="20" customHeight="1">
      <c r="A13" s="7"/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/>
      <c r="L13" s="7"/>
    </row>
    <row r="14" spans="1:12" ht="20" customHeight="1">
      <c r="A14" s="8"/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/>
      <c r="L14" s="8"/>
    </row>
    <row r="15" spans="1:12" ht="20" customHeight="1">
      <c r="A15" s="7"/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/>
      <c r="L15" s="7"/>
    </row>
    <row r="16" spans="1:12" ht="20" customHeight="1">
      <c r="A16" s="8"/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/>
      <c r="L16" s="8"/>
    </row>
    <row r="17" spans="1:12" ht="20" customHeight="1">
      <c r="A17" s="7"/>
      <c r="B17" s="7"/>
      <c r="C17" s="7"/>
      <c r="D17" s="7"/>
      <c r="E17" s="7"/>
      <c r="F17" s="7"/>
      <c r="G17" s="7"/>
      <c r="H17" s="7"/>
      <c r="I17" s="7"/>
      <c r="J17" s="7">
        <f t="shared" si="0"/>
        <v>0</v>
      </c>
      <c r="K17" s="7"/>
      <c r="L17" s="7"/>
    </row>
    <row r="18" spans="1:12" ht="20" customHeight="1">
      <c r="A18" s="8"/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/>
      <c r="L18" s="8"/>
    </row>
    <row r="19" spans="1:12" ht="20" customHeight="1">
      <c r="A19" s="7"/>
      <c r="B19" s="7"/>
      <c r="C19" s="7"/>
      <c r="D19" s="7"/>
      <c r="E19" s="7"/>
      <c r="F19" s="7"/>
      <c r="G19" s="7"/>
      <c r="H19" s="7"/>
      <c r="I19" s="7"/>
      <c r="J19" s="7">
        <f t="shared" si="0"/>
        <v>0</v>
      </c>
      <c r="K19" s="7"/>
      <c r="L19" s="7"/>
    </row>
    <row r="20" spans="1:12" ht="24" customHeight="1">
      <c r="A20" s="37" t="s">
        <v>34</v>
      </c>
      <c r="B20" s="36"/>
      <c r="C20" s="36"/>
      <c r="D20" s="36"/>
      <c r="E20" s="36"/>
      <c r="F20" s="9">
        <f t="shared" ref="F20:K20" si="1">SUM(F5:F19)</f>
        <v>0</v>
      </c>
      <c r="G20" s="9">
        <f t="shared" si="1"/>
        <v>0</v>
      </c>
      <c r="H20" s="9">
        <f t="shared" si="1"/>
        <v>0</v>
      </c>
      <c r="I20" s="9">
        <f t="shared" si="1"/>
        <v>0</v>
      </c>
      <c r="J20" s="9">
        <f t="shared" si="1"/>
        <v>0</v>
      </c>
      <c r="K20" s="9">
        <f t="shared" si="1"/>
        <v>0</v>
      </c>
    </row>
    <row r="22" spans="1:12" ht="22" customHeight="1">
      <c r="A22" s="45" t="s">
        <v>26</v>
      </c>
      <c r="B22" s="39"/>
      <c r="C22" s="39"/>
      <c r="D22" s="39"/>
      <c r="E22" s="40"/>
      <c r="F22" s="10"/>
    </row>
    <row r="23" spans="1:12" ht="22" customHeight="1">
      <c r="A23" s="44" t="s">
        <v>27</v>
      </c>
      <c r="B23" s="39"/>
      <c r="C23" s="39"/>
      <c r="D23" s="39"/>
      <c r="E23" s="40"/>
      <c r="F23" s="12"/>
    </row>
    <row r="24" spans="1:12" ht="22" customHeight="1">
      <c r="A24" s="38" t="s">
        <v>28</v>
      </c>
      <c r="B24" s="39"/>
      <c r="C24" s="39"/>
      <c r="D24" s="39"/>
      <c r="E24" s="40"/>
      <c r="F24" s="14"/>
    </row>
    <row r="25" spans="1:12" ht="22" customHeight="1">
      <c r="A25" s="42" t="s">
        <v>29</v>
      </c>
      <c r="B25" s="39"/>
      <c r="C25" s="39"/>
      <c r="D25" s="39"/>
      <c r="E25" s="40"/>
      <c r="F25" s="46"/>
      <c r="G25" s="36"/>
      <c r="H25" s="36"/>
      <c r="I25" s="36"/>
      <c r="J25" s="36"/>
      <c r="K25" s="36"/>
      <c r="L25" s="36"/>
    </row>
  </sheetData>
  <mergeCells count="9">
    <mergeCell ref="A1:L1"/>
    <mergeCell ref="A23:E23"/>
    <mergeCell ref="A22:E22"/>
    <mergeCell ref="F25:L25"/>
    <mergeCell ref="A2:L2"/>
    <mergeCell ref="A20:E20"/>
    <mergeCell ref="A24:E24"/>
    <mergeCell ref="A3"/>
    <mergeCell ref="A25:E25"/>
  </mergeCells>
  <dataValidations count="2">
    <dataValidation type="list" allowBlank="1" sqref="C5:C19" xr:uid="{00000000-0002-0000-0300-000000000000}">
      <formula1>"Culte Dimanche,Culte Mercredi,Culte Vendredi,Réunion Jeunesse,Réunion Femmes,Prière,Cellule,Séminaire en Assemblée,Séminaire Hors Assemblée,Mission de Terrain,Croisade,Occasion Spéciale"</formula1>
    </dataValidation>
    <dataValidation type="list" allowBlank="1" sqref="B5:B19" xr:uid="{00000000-0002-0000-0300-000001000000}">
      <formula1>"Lundi,Mardi,Mercredi,Jeudi,Vendredi,Samedi,Dimanche"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showGridLines="0" topLeftCell="S1" workbookViewId="0">
      <selection sqref="A1:L1"/>
    </sheetView>
  </sheetViews>
  <sheetFormatPr baseColWidth="10" defaultColWidth="8.7265625" defaultRowHeight="14.5"/>
  <cols>
    <col min="1" max="1" width="11" customWidth="1"/>
    <col min="2" max="2" width="10" customWidth="1"/>
    <col min="3" max="3" width="28" customWidth="1"/>
    <col min="4" max="4" width="30" customWidth="1"/>
    <col min="5" max="5" width="24" customWidth="1"/>
    <col min="6" max="7" width="10" customWidth="1"/>
    <col min="8" max="9" width="12" customWidth="1"/>
    <col min="10" max="10" width="14" customWidth="1"/>
    <col min="11" max="11" width="9" customWidth="1"/>
    <col min="12" max="12" width="30" customWidth="1"/>
  </cols>
  <sheetData>
    <row r="1" spans="1:12" ht="38" customHeight="1">
      <c r="A1" s="4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18" customHeight="1">
      <c r="A2" s="35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41" t="s">
        <v>11</v>
      </c>
      <c r="B3" s="5"/>
      <c r="C3" s="4" t="s">
        <v>12</v>
      </c>
      <c r="D3" s="5"/>
    </row>
    <row r="4" spans="1:12" ht="2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</row>
    <row r="5" spans="1:12" ht="20" customHeight="1">
      <c r="A5" s="7"/>
      <c r="B5" s="7"/>
      <c r="C5" s="7"/>
      <c r="D5" s="7"/>
      <c r="E5" s="7"/>
      <c r="F5" s="7"/>
      <c r="G5" s="7"/>
      <c r="H5" s="7"/>
      <c r="I5" s="7"/>
      <c r="J5" s="7">
        <f t="shared" ref="J5:J19" si="0">IFERROR(F5+G5+H5+I5,"")</f>
        <v>0</v>
      </c>
      <c r="K5" s="7"/>
      <c r="L5" s="7"/>
    </row>
    <row r="6" spans="1:12" ht="20" customHeight="1">
      <c r="A6" s="8"/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/>
      <c r="L6" s="8"/>
    </row>
    <row r="7" spans="1:12" ht="20" customHeight="1">
      <c r="A7" s="7"/>
      <c r="B7" s="7"/>
      <c r="C7" s="7"/>
      <c r="D7" s="7"/>
      <c r="E7" s="7"/>
      <c r="F7" s="7"/>
      <c r="G7" s="7"/>
      <c r="H7" s="7"/>
      <c r="I7" s="7"/>
      <c r="J7" s="7">
        <f t="shared" si="0"/>
        <v>0</v>
      </c>
      <c r="K7" s="7"/>
      <c r="L7" s="7"/>
    </row>
    <row r="8" spans="1:12" ht="20" customHeight="1">
      <c r="A8" s="8"/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/>
      <c r="L8" s="8"/>
    </row>
    <row r="9" spans="1:12" ht="20" customHeight="1">
      <c r="A9" s="7"/>
      <c r="B9" s="7"/>
      <c r="C9" s="7"/>
      <c r="D9" s="7"/>
      <c r="E9" s="7"/>
      <c r="F9" s="7"/>
      <c r="G9" s="7"/>
      <c r="H9" s="7"/>
      <c r="I9" s="7"/>
      <c r="J9" s="7">
        <f t="shared" si="0"/>
        <v>0</v>
      </c>
      <c r="K9" s="7"/>
      <c r="L9" s="7"/>
    </row>
    <row r="10" spans="1:12" ht="20" customHeight="1">
      <c r="A10" s="8"/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/>
      <c r="L10" s="8"/>
    </row>
    <row r="11" spans="1:12" ht="20" customHeight="1">
      <c r="A11" s="7"/>
      <c r="B11" s="7"/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7"/>
      <c r="L11" s="7"/>
    </row>
    <row r="12" spans="1:12" ht="20" customHeight="1">
      <c r="A12" s="8"/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/>
      <c r="L12" s="8"/>
    </row>
    <row r="13" spans="1:12" ht="20" customHeight="1">
      <c r="A13" s="7"/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/>
      <c r="L13" s="7"/>
    </row>
    <row r="14" spans="1:12" ht="20" customHeight="1">
      <c r="A14" s="8"/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/>
      <c r="L14" s="8"/>
    </row>
    <row r="15" spans="1:12" ht="20" customHeight="1">
      <c r="A15" s="7"/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/>
      <c r="L15" s="7"/>
    </row>
    <row r="16" spans="1:12" ht="20" customHeight="1">
      <c r="A16" s="8"/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/>
      <c r="L16" s="8"/>
    </row>
    <row r="17" spans="1:12" ht="20" customHeight="1">
      <c r="A17" s="7"/>
      <c r="B17" s="7"/>
      <c r="C17" s="7"/>
      <c r="D17" s="7"/>
      <c r="E17" s="7"/>
      <c r="F17" s="7"/>
      <c r="G17" s="7"/>
      <c r="H17" s="7"/>
      <c r="I17" s="7"/>
      <c r="J17" s="7">
        <f t="shared" si="0"/>
        <v>0</v>
      </c>
      <c r="K17" s="7"/>
      <c r="L17" s="7"/>
    </row>
    <row r="18" spans="1:12" ht="20" customHeight="1">
      <c r="A18" s="8"/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/>
      <c r="L18" s="8"/>
    </row>
    <row r="19" spans="1:12" ht="20" customHeight="1">
      <c r="A19" s="7"/>
      <c r="B19" s="7"/>
      <c r="C19" s="7"/>
      <c r="D19" s="7"/>
      <c r="E19" s="7"/>
      <c r="F19" s="7"/>
      <c r="G19" s="7"/>
      <c r="H19" s="7"/>
      <c r="I19" s="7"/>
      <c r="J19" s="7">
        <f t="shared" si="0"/>
        <v>0</v>
      </c>
      <c r="K19" s="7"/>
      <c r="L19" s="7"/>
    </row>
    <row r="20" spans="1:12" ht="24" customHeight="1">
      <c r="A20" s="37" t="s">
        <v>37</v>
      </c>
      <c r="B20" s="36"/>
      <c r="C20" s="36"/>
      <c r="D20" s="36"/>
      <c r="E20" s="36"/>
      <c r="F20" s="9">
        <f t="shared" ref="F20:K20" si="1">SUM(F5:F19)</f>
        <v>0</v>
      </c>
      <c r="G20" s="9">
        <f t="shared" si="1"/>
        <v>0</v>
      </c>
      <c r="H20" s="9">
        <f t="shared" si="1"/>
        <v>0</v>
      </c>
      <c r="I20" s="9">
        <f t="shared" si="1"/>
        <v>0</v>
      </c>
      <c r="J20" s="9">
        <f t="shared" si="1"/>
        <v>0</v>
      </c>
      <c r="K20" s="9">
        <f t="shared" si="1"/>
        <v>0</v>
      </c>
    </row>
    <row r="22" spans="1:12" ht="22" customHeight="1">
      <c r="A22" s="45" t="s">
        <v>26</v>
      </c>
      <c r="B22" s="39"/>
      <c r="C22" s="39"/>
      <c r="D22" s="39"/>
      <c r="E22" s="40"/>
      <c r="F22" s="10"/>
    </row>
    <row r="23" spans="1:12" ht="22" customHeight="1">
      <c r="A23" s="44" t="s">
        <v>27</v>
      </c>
      <c r="B23" s="39"/>
      <c r="C23" s="39"/>
      <c r="D23" s="39"/>
      <c r="E23" s="40"/>
      <c r="F23" s="12"/>
    </row>
    <row r="24" spans="1:12" ht="22" customHeight="1">
      <c r="A24" s="38" t="s">
        <v>28</v>
      </c>
      <c r="B24" s="39"/>
      <c r="C24" s="39"/>
      <c r="D24" s="39"/>
      <c r="E24" s="40"/>
      <c r="F24" s="14"/>
    </row>
    <row r="25" spans="1:12" ht="22" customHeight="1">
      <c r="A25" s="42" t="s">
        <v>29</v>
      </c>
      <c r="B25" s="39"/>
      <c r="C25" s="39"/>
      <c r="D25" s="39"/>
      <c r="E25" s="40"/>
      <c r="F25" s="46"/>
      <c r="G25" s="36"/>
      <c r="H25" s="36"/>
      <c r="I25" s="36"/>
      <c r="J25" s="36"/>
      <c r="K25" s="36"/>
      <c r="L25" s="36"/>
    </row>
  </sheetData>
  <mergeCells count="9">
    <mergeCell ref="A1:L1"/>
    <mergeCell ref="A23:E23"/>
    <mergeCell ref="A22:E22"/>
    <mergeCell ref="F25:L25"/>
    <mergeCell ref="A2:L2"/>
    <mergeCell ref="A20:E20"/>
    <mergeCell ref="A24:E24"/>
    <mergeCell ref="A3"/>
    <mergeCell ref="A25:E25"/>
  </mergeCells>
  <dataValidations count="2">
    <dataValidation type="list" allowBlank="1" sqref="C5:C19" xr:uid="{00000000-0002-0000-0400-000000000000}">
      <formula1>"Culte Dimanche,Culte Mercredi,Culte Vendredi,Réunion Jeunesse,Réunion Femmes,Prière,Cellule,Séminaire en Assemblée,Séminaire Hors Assemblée,Mission de Terrain,Croisade,Occasion Spéciale"</formula1>
    </dataValidation>
    <dataValidation type="list" allowBlank="1" sqref="B5:B19" xr:uid="{00000000-0002-0000-0400-000001000000}">
      <formula1>"Lundi,Mardi,Mercredi,Jeudi,Vendredi,Samedi,Dimanche"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showGridLines="0" workbookViewId="0">
      <selection sqref="A1:L1"/>
    </sheetView>
  </sheetViews>
  <sheetFormatPr baseColWidth="10" defaultColWidth="8.7265625" defaultRowHeight="14.5"/>
  <cols>
    <col min="1" max="1" width="11" customWidth="1"/>
    <col min="2" max="2" width="10" customWidth="1"/>
    <col min="3" max="3" width="28" customWidth="1"/>
    <col min="4" max="4" width="30" customWidth="1"/>
    <col min="5" max="5" width="24" customWidth="1"/>
    <col min="6" max="7" width="10" customWidth="1"/>
    <col min="8" max="9" width="12" customWidth="1"/>
    <col min="10" max="10" width="14" customWidth="1"/>
    <col min="11" max="11" width="9" customWidth="1"/>
    <col min="12" max="12" width="30" customWidth="1"/>
  </cols>
  <sheetData>
    <row r="1" spans="1:12" ht="38" customHeight="1">
      <c r="A1" s="43" t="s">
        <v>38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18" customHeight="1">
      <c r="A2" s="35" t="s">
        <v>39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0" customHeight="1">
      <c r="A3" s="41" t="s">
        <v>11</v>
      </c>
      <c r="B3" s="5"/>
      <c r="C3" s="4" t="s">
        <v>12</v>
      </c>
      <c r="D3" s="5"/>
    </row>
    <row r="4" spans="1:12" ht="2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</row>
    <row r="5" spans="1:12" ht="20" customHeight="1">
      <c r="A5" s="7"/>
      <c r="B5" s="7"/>
      <c r="C5" s="7"/>
      <c r="D5" s="7"/>
      <c r="E5" s="7"/>
      <c r="F5" s="7"/>
      <c r="G5" s="7"/>
      <c r="H5" s="7"/>
      <c r="I5" s="7"/>
      <c r="J5" s="7">
        <f t="shared" ref="J5:J19" si="0">IFERROR(F5+G5+H5+I5,"")</f>
        <v>0</v>
      </c>
      <c r="K5" s="7"/>
      <c r="L5" s="7"/>
    </row>
    <row r="6" spans="1:12" ht="20" customHeight="1">
      <c r="A6" s="8"/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/>
      <c r="L6" s="8"/>
    </row>
    <row r="7" spans="1:12" ht="20" customHeight="1">
      <c r="A7" s="7"/>
      <c r="B7" s="7"/>
      <c r="C7" s="7"/>
      <c r="D7" s="7"/>
      <c r="E7" s="7"/>
      <c r="F7" s="7"/>
      <c r="G7" s="7"/>
      <c r="H7" s="7"/>
      <c r="I7" s="7"/>
      <c r="J7" s="7">
        <f t="shared" si="0"/>
        <v>0</v>
      </c>
      <c r="K7" s="7"/>
      <c r="L7" s="7"/>
    </row>
    <row r="8" spans="1:12" ht="20" customHeight="1">
      <c r="A8" s="8"/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/>
      <c r="L8" s="8"/>
    </row>
    <row r="9" spans="1:12" ht="20" customHeight="1">
      <c r="A9" s="7"/>
      <c r="B9" s="7"/>
      <c r="C9" s="7"/>
      <c r="D9" s="7"/>
      <c r="E9" s="7"/>
      <c r="F9" s="7"/>
      <c r="G9" s="7"/>
      <c r="H9" s="7"/>
      <c r="I9" s="7"/>
      <c r="J9" s="7">
        <f t="shared" si="0"/>
        <v>0</v>
      </c>
      <c r="K9" s="7"/>
      <c r="L9" s="7"/>
    </row>
    <row r="10" spans="1:12" ht="20" customHeight="1">
      <c r="A10" s="8"/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/>
      <c r="L10" s="8"/>
    </row>
    <row r="11" spans="1:12" ht="20" customHeight="1">
      <c r="A11" s="7"/>
      <c r="B11" s="7"/>
      <c r="C11" s="7"/>
      <c r="D11" s="7"/>
      <c r="E11" s="7"/>
      <c r="F11" s="7"/>
      <c r="G11" s="7"/>
      <c r="H11" s="7"/>
      <c r="I11" s="7"/>
      <c r="J11" s="7">
        <f t="shared" si="0"/>
        <v>0</v>
      </c>
      <c r="K11" s="7"/>
      <c r="L11" s="7"/>
    </row>
    <row r="12" spans="1:12" ht="20" customHeight="1">
      <c r="A12" s="8"/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/>
      <c r="L12" s="8"/>
    </row>
    <row r="13" spans="1:12" ht="20" customHeight="1">
      <c r="A13" s="7"/>
      <c r="B13" s="7"/>
      <c r="C13" s="7"/>
      <c r="D13" s="7"/>
      <c r="E13" s="7"/>
      <c r="F13" s="7"/>
      <c r="G13" s="7"/>
      <c r="H13" s="7"/>
      <c r="I13" s="7"/>
      <c r="J13" s="7">
        <f t="shared" si="0"/>
        <v>0</v>
      </c>
      <c r="K13" s="7"/>
      <c r="L13" s="7"/>
    </row>
    <row r="14" spans="1:12" ht="20" customHeight="1">
      <c r="A14" s="8"/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/>
      <c r="L14" s="8"/>
    </row>
    <row r="15" spans="1:12" ht="20" customHeight="1">
      <c r="A15" s="7"/>
      <c r="B15" s="7"/>
      <c r="C15" s="7"/>
      <c r="D15" s="7"/>
      <c r="E15" s="7"/>
      <c r="F15" s="7"/>
      <c r="G15" s="7"/>
      <c r="H15" s="7"/>
      <c r="I15" s="7"/>
      <c r="J15" s="7">
        <f t="shared" si="0"/>
        <v>0</v>
      </c>
      <c r="K15" s="7"/>
      <c r="L15" s="7"/>
    </row>
    <row r="16" spans="1:12" ht="20" customHeight="1">
      <c r="A16" s="8"/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/>
      <c r="L16" s="8"/>
    </row>
    <row r="17" spans="1:12" ht="20" customHeight="1">
      <c r="A17" s="7"/>
      <c r="B17" s="7"/>
      <c r="C17" s="7"/>
      <c r="D17" s="7"/>
      <c r="E17" s="7"/>
      <c r="F17" s="7"/>
      <c r="G17" s="7"/>
      <c r="H17" s="7"/>
      <c r="I17" s="7"/>
      <c r="J17" s="7">
        <f t="shared" si="0"/>
        <v>0</v>
      </c>
      <c r="K17" s="7"/>
      <c r="L17" s="7"/>
    </row>
    <row r="18" spans="1:12" ht="20" customHeight="1">
      <c r="A18" s="8"/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/>
      <c r="L18" s="8"/>
    </row>
    <row r="19" spans="1:12" ht="20" customHeight="1">
      <c r="A19" s="7"/>
      <c r="B19" s="7"/>
      <c r="C19" s="7"/>
      <c r="D19" s="7"/>
      <c r="E19" s="7"/>
      <c r="F19" s="7"/>
      <c r="G19" s="7"/>
      <c r="H19" s="7"/>
      <c r="I19" s="7"/>
      <c r="J19" s="7">
        <f t="shared" si="0"/>
        <v>0</v>
      </c>
      <c r="K19" s="7"/>
      <c r="L19" s="7"/>
    </row>
    <row r="20" spans="1:12" ht="24" customHeight="1">
      <c r="A20" s="37" t="s">
        <v>40</v>
      </c>
      <c r="B20" s="36"/>
      <c r="C20" s="36"/>
      <c r="D20" s="36"/>
      <c r="E20" s="36"/>
      <c r="F20" s="9">
        <f t="shared" ref="F20:K20" si="1">SUM(F5:F19)</f>
        <v>0</v>
      </c>
      <c r="G20" s="9">
        <f t="shared" si="1"/>
        <v>0</v>
      </c>
      <c r="H20" s="9">
        <f t="shared" si="1"/>
        <v>0</v>
      </c>
      <c r="I20" s="9">
        <f t="shared" si="1"/>
        <v>0</v>
      </c>
      <c r="J20" s="9">
        <f t="shared" si="1"/>
        <v>0</v>
      </c>
      <c r="K20" s="9">
        <f t="shared" si="1"/>
        <v>0</v>
      </c>
    </row>
    <row r="22" spans="1:12" ht="22" customHeight="1">
      <c r="A22" s="45" t="s">
        <v>26</v>
      </c>
      <c r="B22" s="39"/>
      <c r="C22" s="39"/>
      <c r="D22" s="39"/>
      <c r="E22" s="40"/>
      <c r="F22" s="10"/>
    </row>
    <row r="23" spans="1:12" ht="22" customHeight="1">
      <c r="A23" s="44" t="s">
        <v>27</v>
      </c>
      <c r="B23" s="39"/>
      <c r="C23" s="39"/>
      <c r="D23" s="39"/>
      <c r="E23" s="40"/>
      <c r="F23" s="12"/>
    </row>
    <row r="24" spans="1:12" ht="22" customHeight="1">
      <c r="A24" s="38" t="s">
        <v>28</v>
      </c>
      <c r="B24" s="39"/>
      <c r="C24" s="39"/>
      <c r="D24" s="39"/>
      <c r="E24" s="40"/>
      <c r="F24" s="14"/>
    </row>
    <row r="25" spans="1:12" ht="22" customHeight="1">
      <c r="A25" s="42" t="s">
        <v>29</v>
      </c>
      <c r="B25" s="39"/>
      <c r="C25" s="39"/>
      <c r="D25" s="39"/>
      <c r="E25" s="40"/>
      <c r="F25" s="46"/>
      <c r="G25" s="36"/>
      <c r="H25" s="36"/>
      <c r="I25" s="36"/>
      <c r="J25" s="36"/>
      <c r="K25" s="36"/>
      <c r="L25" s="36"/>
    </row>
  </sheetData>
  <mergeCells count="9">
    <mergeCell ref="A1:L1"/>
    <mergeCell ref="A23:E23"/>
    <mergeCell ref="A22:E22"/>
    <mergeCell ref="F25:L25"/>
    <mergeCell ref="A2:L2"/>
    <mergeCell ref="A20:E20"/>
    <mergeCell ref="A24:E24"/>
    <mergeCell ref="A3"/>
    <mergeCell ref="A25:E25"/>
  </mergeCells>
  <dataValidations count="2">
    <dataValidation type="list" allowBlank="1" sqref="C5:C19" xr:uid="{00000000-0002-0000-0500-000000000000}">
      <formula1>"Culte Dimanche,Culte Mercredi,Culte Vendredi,Réunion Jeunesse,Réunion Femmes,Prière,Cellule,Séminaire en Assemblée,Séminaire Hors Assemblée,Mission de Terrain,Croisade,Occasion Spéciale"</formula1>
    </dataValidation>
    <dataValidation type="list" allowBlank="1" sqref="B5:B19" xr:uid="{00000000-0002-0000-0500-000001000000}">
      <formula1>"Lundi,Mardi,Mercredi,Jeudi,Vendredi,Samedi,Dimanche"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showGridLines="0" topLeftCell="A23" workbookViewId="0">
      <selection sqref="A1:F1"/>
    </sheetView>
  </sheetViews>
  <sheetFormatPr baseColWidth="10" defaultColWidth="8.7265625" defaultRowHeight="14.5"/>
  <cols>
    <col min="1" max="1" width="16" customWidth="1"/>
    <col min="2" max="2" width="20" customWidth="1"/>
    <col min="3" max="3" width="50" customWidth="1"/>
    <col min="4" max="4" width="16" customWidth="1"/>
    <col min="5" max="5" width="35" customWidth="1"/>
    <col min="6" max="7" width="10" customWidth="1"/>
    <col min="8" max="8" width="18" customWidth="1"/>
    <col min="9" max="9" width="20" customWidth="1"/>
  </cols>
  <sheetData>
    <row r="1" spans="1:7" ht="44" customHeight="1">
      <c r="A1" s="32" t="s">
        <v>92</v>
      </c>
      <c r="B1" s="33"/>
      <c r="C1" s="33"/>
      <c r="D1" s="33"/>
      <c r="E1" s="33"/>
      <c r="F1" s="34"/>
    </row>
    <row r="2" spans="1:7" ht="18" customHeight="1">
      <c r="A2" s="35" t="s">
        <v>41</v>
      </c>
      <c r="B2" s="36"/>
      <c r="C2" s="36"/>
      <c r="D2" s="36"/>
      <c r="E2" s="36"/>
      <c r="F2" s="36"/>
    </row>
    <row r="3" spans="1:7" ht="22" customHeight="1">
      <c r="A3" s="51" t="s">
        <v>42</v>
      </c>
      <c r="B3" s="33"/>
      <c r="C3" s="33"/>
      <c r="D3" s="33"/>
      <c r="E3" s="33"/>
      <c r="F3" s="34"/>
    </row>
    <row r="4" spans="1:7" ht="24" customHeight="1">
      <c r="A4" s="15"/>
      <c r="B4" s="15" t="s">
        <v>43</v>
      </c>
      <c r="C4" s="15" t="s">
        <v>44</v>
      </c>
      <c r="D4" s="15" t="s">
        <v>45</v>
      </c>
      <c r="E4" s="15" t="s">
        <v>46</v>
      </c>
      <c r="F4" s="15" t="s">
        <v>47</v>
      </c>
      <c r="G4" s="15" t="s">
        <v>48</v>
      </c>
    </row>
    <row r="5" spans="1:7" ht="22" customHeight="1">
      <c r="A5" s="11" t="s">
        <v>49</v>
      </c>
      <c r="B5" s="16">
        <f>SUM(S1_SEMAINE!J20,S2_SEMAINE!J20,S3_SEMAINE!J20,S4_SEMAINE!J20,S5_SEMAINE!J20)</f>
        <v>0</v>
      </c>
      <c r="C5" s="17">
        <f>S1_SEMAINE!J20</f>
        <v>0</v>
      </c>
      <c r="D5" s="17">
        <f>S2_SEMAINE!J20</f>
        <v>0</v>
      </c>
      <c r="E5" s="17">
        <f>S3_SEMAINE!J20</f>
        <v>0</v>
      </c>
      <c r="F5" s="17">
        <f>S4_SEMAINE!J20</f>
        <v>0</v>
      </c>
      <c r="G5" s="17">
        <f>S5_SEMAINE!J20</f>
        <v>0</v>
      </c>
    </row>
    <row r="6" spans="1:7" ht="22" customHeight="1">
      <c r="A6" s="18" t="s">
        <v>50</v>
      </c>
      <c r="B6" s="16">
        <f>SUM(S1_SEMAINE!K20,S2_SEMAINE!K20,S3_SEMAINE!K20,S4_SEMAINE!K20,S5_SEMAINE!K20)</f>
        <v>0</v>
      </c>
      <c r="C6" s="17">
        <f>S1_SEMAINE!K20</f>
        <v>0</v>
      </c>
      <c r="D6" s="17">
        <f>S2_SEMAINE!K20</f>
        <v>0</v>
      </c>
      <c r="E6" s="17">
        <f>S3_SEMAINE!K20</f>
        <v>0</v>
      </c>
      <c r="F6" s="17">
        <f>S4_SEMAINE!K20</f>
        <v>0</v>
      </c>
      <c r="G6" s="17">
        <f>S5_SEMAINE!K20</f>
        <v>0</v>
      </c>
    </row>
    <row r="7" spans="1:7" ht="22" customHeight="1">
      <c r="A7" s="19" t="s">
        <v>51</v>
      </c>
      <c r="B7" s="16">
        <f>SUM(S1_SEMAINE!F22,S2_SEMAINE!F22,S3_SEMAINE!F22,S4_SEMAINE!F22,S5_SEMAINE!F22)</f>
        <v>0</v>
      </c>
      <c r="C7" s="17">
        <f>S1_SEMAINE!F22</f>
        <v>0</v>
      </c>
      <c r="D7" s="17">
        <f>S2_SEMAINE!F22</f>
        <v>0</v>
      </c>
      <c r="E7" s="17">
        <f>S3_SEMAINE!F22</f>
        <v>0</v>
      </c>
      <c r="F7" s="17">
        <f>S4_SEMAINE!F22</f>
        <v>0</v>
      </c>
      <c r="G7" s="17">
        <f>S5_SEMAINE!F22</f>
        <v>0</v>
      </c>
    </row>
    <row r="8" spans="1:7" ht="22" customHeight="1">
      <c r="A8" s="20" t="s">
        <v>52</v>
      </c>
      <c r="B8" s="16">
        <f>SUM(S1_SEMAINE!F23,S2_SEMAINE!F23,S3_SEMAINE!F23,S4_SEMAINE!F23,S5_SEMAINE!F23)</f>
        <v>0</v>
      </c>
      <c r="C8" s="17">
        <f>S1_SEMAINE!F23</f>
        <v>0</v>
      </c>
      <c r="D8" s="17">
        <f>S2_SEMAINE!F23</f>
        <v>0</v>
      </c>
      <c r="E8" s="17">
        <f>S3_SEMAINE!F23</f>
        <v>0</v>
      </c>
      <c r="F8" s="17">
        <f>S4_SEMAINE!F23</f>
        <v>0</v>
      </c>
      <c r="G8" s="17">
        <f>S5_SEMAINE!F23</f>
        <v>0</v>
      </c>
    </row>
    <row r="9" spans="1:7" ht="22" customHeight="1">
      <c r="A9" s="19" t="s">
        <v>53</v>
      </c>
      <c r="B9" s="16">
        <f>SUM(S1_SEMAINE!F24,S2_SEMAINE!F24,S3_SEMAINE!F24,S4_SEMAINE!F24,S5_SEMAINE!F24)</f>
        <v>0</v>
      </c>
      <c r="C9" s="17">
        <f>S1_SEMAINE!F24</f>
        <v>0</v>
      </c>
      <c r="D9" s="17">
        <f>S2_SEMAINE!F24</f>
        <v>0</v>
      </c>
      <c r="E9" s="17">
        <f>S3_SEMAINE!F24</f>
        <v>0</v>
      </c>
      <c r="F9" s="17">
        <f>S4_SEMAINE!F24</f>
        <v>0</v>
      </c>
      <c r="G9" s="17">
        <f>S5_SEMAINE!F24</f>
        <v>0</v>
      </c>
    </row>
    <row r="10" spans="1:7" ht="22" customHeight="1">
      <c r="A10" s="21" t="s">
        <v>54</v>
      </c>
      <c r="B10" s="22" t="str">
        <f>IFERROR(B7/B6*100,"—")</f>
        <v>—</v>
      </c>
    </row>
    <row r="11" spans="1:7" ht="22" customHeight="1">
      <c r="A11" s="51" t="s">
        <v>55</v>
      </c>
      <c r="B11" s="33"/>
      <c r="C11" s="33"/>
      <c r="D11" s="33"/>
      <c r="E11" s="33"/>
      <c r="F11" s="34"/>
    </row>
    <row r="12" spans="1:7" ht="22" customHeight="1">
      <c r="A12" s="11" t="s">
        <v>56</v>
      </c>
      <c r="B12" s="23"/>
    </row>
    <row r="13" spans="1:7" ht="22" customHeight="1">
      <c r="A13" s="18" t="s">
        <v>57</v>
      </c>
      <c r="B13" s="23"/>
    </row>
    <row r="14" spans="1:7" ht="22" customHeight="1">
      <c r="A14" s="11" t="s">
        <v>58</v>
      </c>
      <c r="B14" s="23"/>
    </row>
    <row r="15" spans="1:7" ht="22" customHeight="1">
      <c r="A15" s="18" t="s">
        <v>59</v>
      </c>
      <c r="B15" s="23"/>
    </row>
    <row r="16" spans="1:7" ht="22" customHeight="1">
      <c r="A16" s="47" t="s">
        <v>60</v>
      </c>
      <c r="B16" s="33"/>
      <c r="C16" s="33"/>
      <c r="D16" s="33"/>
      <c r="E16" s="33"/>
      <c r="F16" s="34"/>
    </row>
    <row r="17" spans="1:6" ht="22" customHeight="1">
      <c r="A17" s="24" t="s">
        <v>61</v>
      </c>
      <c r="B17" s="25"/>
      <c r="C17" s="48" t="s">
        <v>62</v>
      </c>
      <c r="D17" s="39"/>
      <c r="E17" s="39"/>
      <c r="F17" s="40"/>
    </row>
    <row r="18" spans="1:6" ht="22" customHeight="1">
      <c r="A18" s="13" t="s">
        <v>63</v>
      </c>
      <c r="B18" s="25"/>
      <c r="C18" s="48" t="e">
        <f>case Ajoutés ci-dessus</f>
        <v>#NAME?</v>
      </c>
      <c r="D18" s="39"/>
      <c r="E18" s="39"/>
      <c r="F18" s="40"/>
    </row>
    <row r="19" spans="1:6" ht="22" customHeight="1">
      <c r="A19" s="24" t="s">
        <v>64</v>
      </c>
      <c r="B19" s="25"/>
    </row>
    <row r="20" spans="1:6" ht="22" customHeight="1">
      <c r="A20" s="13" t="s">
        <v>65</v>
      </c>
      <c r="B20" s="25"/>
    </row>
    <row r="21" spans="1:6" ht="22" customHeight="1">
      <c r="A21" s="24" t="s">
        <v>66</v>
      </c>
      <c r="B21" s="25"/>
    </row>
    <row r="22" spans="1:6" ht="22" customHeight="1">
      <c r="A22" s="13" t="s">
        <v>67</v>
      </c>
      <c r="B22" s="25"/>
    </row>
    <row r="23" spans="1:6" ht="22" customHeight="1">
      <c r="A23" s="24" t="s">
        <v>68</v>
      </c>
      <c r="B23" s="25"/>
    </row>
    <row r="24" spans="1:6" ht="22" customHeight="1">
      <c r="A24" s="13" t="s">
        <v>69</v>
      </c>
      <c r="B24" s="25"/>
    </row>
    <row r="25" spans="1:6" ht="22" customHeight="1">
      <c r="A25" s="13" t="s">
        <v>70</v>
      </c>
      <c r="B25" s="25"/>
    </row>
    <row r="26" spans="1:6" ht="22" customHeight="1">
      <c r="A26" s="50" t="s">
        <v>71</v>
      </c>
      <c r="B26" s="33"/>
      <c r="C26" s="33"/>
      <c r="D26" s="33"/>
      <c r="E26" s="33"/>
      <c r="F26" s="34"/>
    </row>
    <row r="27" spans="1:6" ht="22" customHeight="1">
      <c r="A27" s="26" t="s">
        <v>72</v>
      </c>
      <c r="B27" s="27"/>
      <c r="C27" s="36"/>
      <c r="D27" s="36"/>
      <c r="E27" s="36"/>
      <c r="F27" s="36"/>
    </row>
    <row r="28" spans="1:6" ht="22" customHeight="1">
      <c r="A28" s="28" t="s">
        <v>73</v>
      </c>
      <c r="B28" s="27"/>
      <c r="C28" s="36"/>
      <c r="D28" s="36"/>
      <c r="E28" s="36"/>
      <c r="F28" s="36"/>
    </row>
    <row r="29" spans="1:6" ht="22" customHeight="1">
      <c r="A29" s="26" t="s">
        <v>90</v>
      </c>
      <c r="B29" s="27"/>
      <c r="C29" s="36"/>
      <c r="D29" s="36"/>
      <c r="E29" s="36"/>
      <c r="F29" s="36"/>
    </row>
    <row r="30" spans="1:6" ht="22" customHeight="1">
      <c r="A30" s="28" t="s">
        <v>74</v>
      </c>
      <c r="B30" s="27"/>
      <c r="C30" s="36"/>
      <c r="D30" s="36"/>
      <c r="E30" s="36"/>
      <c r="F30" s="36"/>
    </row>
    <row r="31" spans="1:6" ht="22" customHeight="1">
      <c r="A31" s="26" t="s">
        <v>75</v>
      </c>
      <c r="B31" s="27"/>
      <c r="C31" s="36"/>
      <c r="D31" s="36"/>
      <c r="E31" s="36"/>
      <c r="F31" s="36"/>
    </row>
    <row r="32" spans="1:6" ht="22" customHeight="1">
      <c r="A32" s="29" t="s">
        <v>76</v>
      </c>
      <c r="B32" s="30">
        <f>SUM(B27:B31)</f>
        <v>0</v>
      </c>
      <c r="C32" s="36"/>
      <c r="D32" s="36"/>
      <c r="E32" s="36"/>
      <c r="F32" s="36"/>
    </row>
    <row r="33" spans="1:6" ht="22" customHeight="1">
      <c r="A33" s="26" t="s">
        <v>77</v>
      </c>
      <c r="B33" s="27"/>
      <c r="C33" s="36"/>
      <c r="D33" s="36"/>
      <c r="E33" s="36"/>
      <c r="F33" s="36"/>
    </row>
    <row r="34" spans="1:6" ht="22" customHeight="1">
      <c r="A34" s="28" t="s">
        <v>78</v>
      </c>
      <c r="B34" s="27"/>
      <c r="C34" s="36"/>
      <c r="D34" s="36"/>
      <c r="E34" s="36"/>
      <c r="F34" s="36"/>
    </row>
    <row r="35" spans="1:6" ht="22" customHeight="1">
      <c r="A35" s="26" t="s">
        <v>79</v>
      </c>
      <c r="B35" s="27"/>
      <c r="C35" s="36"/>
      <c r="D35" s="36"/>
      <c r="E35" s="36"/>
      <c r="F35" s="36"/>
    </row>
    <row r="36" spans="1:6" ht="22" customHeight="1">
      <c r="A36" s="49" t="s">
        <v>80</v>
      </c>
      <c r="B36" s="33"/>
      <c r="C36" s="33"/>
      <c r="D36" s="33"/>
      <c r="E36" s="33"/>
      <c r="F36" s="34"/>
    </row>
    <row r="37" spans="1:6" ht="18" customHeight="1">
      <c r="A37" s="35" t="s">
        <v>91</v>
      </c>
      <c r="B37" s="36"/>
      <c r="C37" s="36"/>
      <c r="D37" s="36"/>
      <c r="E37" s="36"/>
      <c r="F37" s="36"/>
    </row>
    <row r="38" spans="1:6" ht="26" customHeight="1">
      <c r="A38" s="31" t="s">
        <v>81</v>
      </c>
      <c r="B38" s="31" t="s">
        <v>82</v>
      </c>
      <c r="C38" s="31" t="s">
        <v>83</v>
      </c>
      <c r="D38" s="31" t="s">
        <v>84</v>
      </c>
      <c r="E38" s="31" t="s">
        <v>85</v>
      </c>
      <c r="F38" s="31"/>
    </row>
    <row r="39" spans="1:6" ht="20" customHeight="1">
      <c r="A39" s="8" t="s">
        <v>86</v>
      </c>
      <c r="B39" s="8"/>
      <c r="C39" s="8"/>
      <c r="D39" s="8"/>
      <c r="E39" s="8"/>
      <c r="F39" s="8"/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8"/>
      <c r="B41" s="8"/>
      <c r="C41" s="8"/>
      <c r="D41" s="8"/>
      <c r="E41" s="8"/>
      <c r="F41" s="8"/>
    </row>
    <row r="42" spans="1:6" ht="20" customHeight="1">
      <c r="A42" s="7"/>
      <c r="B42" s="7"/>
      <c r="C42" s="7"/>
      <c r="D42" s="7"/>
      <c r="E42" s="7"/>
      <c r="F42" s="7"/>
    </row>
    <row r="43" spans="1:6" ht="20" customHeight="1">
      <c r="A43" s="8"/>
      <c r="B43" s="8"/>
      <c r="C43" s="8"/>
      <c r="D43" s="8"/>
      <c r="E43" s="8"/>
      <c r="F43" s="8"/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8"/>
      <c r="B45" s="8"/>
      <c r="C45" s="8"/>
      <c r="D45" s="8"/>
      <c r="E45" s="8"/>
      <c r="F45" s="8"/>
    </row>
    <row r="46" spans="1:6" ht="20" customHeight="1">
      <c r="A46" s="7"/>
      <c r="B46" s="7"/>
      <c r="C46" s="7"/>
      <c r="D46" s="7"/>
      <c r="E46" s="7"/>
      <c r="F46" s="7"/>
    </row>
    <row r="47" spans="1:6" ht="20" customHeight="1">
      <c r="A47" s="8"/>
      <c r="B47" s="8"/>
      <c r="C47" s="8"/>
      <c r="D47" s="8"/>
      <c r="E47" s="8"/>
      <c r="F47" s="8"/>
    </row>
    <row r="48" spans="1:6" ht="20" customHeight="1">
      <c r="A48" s="7"/>
      <c r="B48" s="7"/>
      <c r="C48" s="7"/>
      <c r="D48" s="7"/>
      <c r="E48" s="7"/>
      <c r="F48" s="7"/>
    </row>
    <row r="49" spans="1:6" ht="20" customHeight="1">
      <c r="A49" s="8"/>
      <c r="B49" s="8"/>
      <c r="C49" s="8"/>
      <c r="D49" s="8"/>
      <c r="E49" s="8"/>
      <c r="F49" s="8"/>
    </row>
    <row r="50" spans="1:6" ht="20" customHeight="1">
      <c r="A50" s="7"/>
      <c r="B50" s="7"/>
      <c r="C50" s="7"/>
      <c r="D50" s="7"/>
      <c r="E50" s="7"/>
      <c r="F50" s="7"/>
    </row>
    <row r="51" spans="1:6" ht="20" customHeight="1">
      <c r="A51" s="8"/>
      <c r="B51" s="8"/>
      <c r="C51" s="8"/>
      <c r="D51" s="8"/>
      <c r="E51" s="8"/>
      <c r="F51" s="8"/>
    </row>
    <row r="52" spans="1:6" ht="20" customHeight="1">
      <c r="A52" s="7"/>
      <c r="B52" s="7"/>
      <c r="C52" s="7"/>
      <c r="D52" s="7"/>
      <c r="E52" s="7"/>
      <c r="F52" s="7"/>
    </row>
    <row r="53" spans="1:6" ht="20" customHeight="1">
      <c r="A53" s="8"/>
      <c r="B53" s="8"/>
      <c r="C53" s="8"/>
      <c r="D53" s="8"/>
      <c r="E53" s="8"/>
      <c r="F53" s="8"/>
    </row>
  </sheetData>
  <mergeCells count="19">
    <mergeCell ref="A1:F1"/>
    <mergeCell ref="C35:F35"/>
    <mergeCell ref="A37:F37"/>
    <mergeCell ref="C34:F34"/>
    <mergeCell ref="C28:F28"/>
    <mergeCell ref="A11:F11"/>
    <mergeCell ref="C30:F30"/>
    <mergeCell ref="A3:F3"/>
    <mergeCell ref="C27:F27"/>
    <mergeCell ref="A2:F2"/>
    <mergeCell ref="C18:F18"/>
    <mergeCell ref="C33:F33"/>
    <mergeCell ref="C29:F29"/>
    <mergeCell ref="C32:F32"/>
    <mergeCell ref="A16:F16"/>
    <mergeCell ref="C17:F17"/>
    <mergeCell ref="A36:F36"/>
    <mergeCell ref="A26:F26"/>
    <mergeCell ref="C31:F31"/>
  </mergeCells>
  <dataValidations count="3">
    <dataValidation type="list" allowBlank="1" sqref="A39:A53" xr:uid="{00000000-0002-0000-0600-000000000000}">
      <formula1>"Réussite,Difficulté,Perspective,Besoin,Prière"</formula1>
    </dataValidation>
    <dataValidation type="list" allowBlank="1" sqref="B39:B53" xr:uid="{00000000-0002-0000-0600-000001000000}">
      <formula1>"Mission,Formation,Finance,Infrastructure,Personnel,Spirituel,Autre"</formula1>
    </dataValidation>
    <dataValidation type="list" allowBlank="1" sqref="D39:D53" xr:uid="{00000000-0002-0000-0600-000002000000}">
      <formula1>"Résolu,En cours,Non résolu,Nouveau"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0_IDENTIFICATION</vt:lpstr>
      <vt:lpstr>S1_SEMAINE</vt:lpstr>
      <vt:lpstr>S2_SEMAINE</vt:lpstr>
      <vt:lpstr>S3_SEMAINE</vt:lpstr>
      <vt:lpstr>S4_SEMAINE</vt:lpstr>
      <vt:lpstr>S5_SEMAINE</vt:lpstr>
      <vt:lpstr>6_SYNTHESE_MENSUELLE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Clementine AMEVOR</cp:lastModifiedBy>
  <dcterms:created xsi:type="dcterms:W3CDTF">2026-06-27T23:22:58Z</dcterms:created>
  <dcterms:modified xsi:type="dcterms:W3CDTF">2026-06-27T23:36:39Z</dcterms:modified>
</cp:coreProperties>
</file>