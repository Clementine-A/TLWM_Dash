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FERENTIEL" sheetId="1" state="visible" r:id="rId1"/>
    <sheet xmlns:r="http://schemas.openxmlformats.org/officeDocument/2006/relationships" name="1_IDENTIFICATION" sheetId="2" state="visible" r:id="rId2"/>
    <sheet xmlns:r="http://schemas.openxmlformats.org/officeDocument/2006/relationships" name="2_SYNTHESE_ASSEMBLEES" sheetId="3" state="visible" r:id="rId3"/>
    <sheet xmlns:r="http://schemas.openxmlformats.org/officeDocument/2006/relationships" name="3_ACTIVITES_DISTRICT" sheetId="4" state="visible" r:id="rId4"/>
    <sheet xmlns:r="http://schemas.openxmlformats.org/officeDocument/2006/relationships" name="4_RESSOURCES_HUMAINES" sheetId="5" state="visible" r:id="rId5"/>
    <sheet xmlns:r="http://schemas.openxmlformats.org/officeDocument/2006/relationships" name="5_FINANCES" sheetId="6" state="visible" r:id="rId6"/>
    <sheet xmlns:r="http://schemas.openxmlformats.org/officeDocument/2006/relationships" name="6_REUSSITES_DIFFICUL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 &quot;FCFA&quot;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F7770"/>
      <sz val="9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8B6914"/>
      <sz val="9"/>
    </font>
    <font>
      <name val="Calibri"/>
      <b val="1"/>
      <color rgb="00FFFFFF"/>
      <sz val="14"/>
    </font>
    <font>
      <name val="Calibri"/>
      <i val="1"/>
      <color rgb="008B6914"/>
      <sz val="10"/>
    </font>
    <font>
      <name val="Calibri"/>
      <b val="1"/>
      <color rgb="00FFFFFF"/>
      <sz val="11"/>
    </font>
    <font>
      <name val="Calibri"/>
      <b val="1"/>
      <color rgb="001A3A5C"/>
      <sz val="10"/>
    </font>
    <font>
      <name val="Calibri"/>
      <color rgb="001F2329"/>
      <sz val="10"/>
    </font>
    <font>
      <name val="Calibri"/>
      <i val="1"/>
      <color rgb="00808080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A3A5C"/>
      <sz val="11"/>
    </font>
    <font>
      <name val="Calibri"/>
      <b val="1"/>
      <color rgb="001F2329"/>
      <sz val="10"/>
    </font>
    <font>
      <name val="Calibri"/>
      <b val="1"/>
      <color rgb="00375623"/>
      <sz val="12"/>
    </font>
    <font>
      <name val="Calibri"/>
      <i val="1"/>
      <color rgb="00888888"/>
      <sz val="9"/>
    </font>
  </fonts>
  <fills count="2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8F4FD"/>
      </patternFill>
    </fill>
    <fill>
      <patternFill patternType="solid">
        <fgColor rgb="002E6DA4"/>
      </patternFill>
    </fill>
    <fill>
      <patternFill patternType="solid">
        <fgColor rgb="00E9F2FA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FF8E1"/>
      </patternFill>
    </fill>
    <fill>
      <patternFill patternType="solid">
        <fgColor rgb="00375623"/>
      </patternFill>
    </fill>
    <fill>
      <patternFill patternType="solid">
        <fgColor rgb="004A235A"/>
      </patternFill>
    </fill>
    <fill>
      <patternFill patternType="solid">
        <fgColor rgb="008B6914"/>
      </patternFill>
    </fill>
    <fill>
      <patternFill patternType="solid">
        <fgColor rgb="00555555"/>
      </patternFill>
    </fill>
    <fill>
      <patternFill patternType="solid">
        <fgColor rgb="007F3F00"/>
      </patternFill>
    </fill>
    <fill>
      <patternFill patternType="solid">
        <fgColor rgb="00FFF3E0"/>
      </patternFill>
    </fill>
    <fill>
      <patternFill patternType="solid">
        <fgColor rgb="00ED7D31"/>
      </patternFill>
    </fill>
    <fill>
      <patternFill patternType="solid">
        <fgColor rgb="007B0C14"/>
      </patternFill>
    </fill>
    <fill>
      <patternFill patternType="solid">
        <fgColor rgb="007030A0"/>
      </patternFill>
    </fill>
    <fill>
      <patternFill patternType="solid">
        <fgColor rgb="00F3E5F5"/>
      </patternFill>
    </fill>
    <fill>
      <patternFill patternType="solid">
        <fgColor rgb="001A5276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2F2F2"/>
      </patternFill>
    </fill>
    <fill>
      <patternFill patternType="solid">
        <fgColor rgb="001F7770"/>
      </patternFill>
    </fill>
    <fill>
      <patternFill patternType="solid">
        <fgColor rgb="00E0F2F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7" borderId="0" applyAlignment="1" pivotButton="0" quotePrefix="0" xfId="0">
      <alignment horizontal="left" vertical="center" wrapText="1" indent="1"/>
    </xf>
    <xf numFmtId="0" fontId="6" fillId="2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1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 wrapText="1" indent="1"/>
    </xf>
    <xf numFmtId="0" fontId="13" fillId="13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/>
    </xf>
    <xf numFmtId="0" fontId="0" fillId="13" borderId="1" pivotButton="0" quotePrefix="0" xfId="0"/>
    <xf numFmtId="3" fontId="3" fillId="13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right" vertical="center"/>
    </xf>
    <xf numFmtId="0" fontId="12" fillId="17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left" vertical="center" wrapText="1" indent="1"/>
    </xf>
    <xf numFmtId="0" fontId="3" fillId="1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left" vertical="center" indent="2"/>
    </xf>
    <xf numFmtId="0" fontId="10" fillId="6" borderId="1" applyAlignment="1" pivotButton="0" quotePrefix="0" xfId="0">
      <alignment horizontal="left" vertical="center" indent="2"/>
    </xf>
    <xf numFmtId="3" fontId="4" fillId="7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 indent="1"/>
    </xf>
    <xf numFmtId="0" fontId="3" fillId="19" borderId="1" applyAlignment="1" pivotButton="0" quotePrefix="0" xfId="0">
      <alignment horizontal="left" vertical="center" indent="1"/>
    </xf>
    <xf numFmtId="0" fontId="12" fillId="11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vertical="center" indent="1"/>
    </xf>
    <xf numFmtId="0" fontId="10" fillId="20" borderId="1" applyAlignment="1" pivotButton="0" quotePrefix="0" xfId="0">
      <alignment horizontal="left" vertical="center" indent="2"/>
    </xf>
    <xf numFmtId="165" fontId="14" fillId="20" borderId="1" applyAlignment="1" pivotButton="0" quotePrefix="0" xfId="0">
      <alignment horizontal="right" vertical="center"/>
    </xf>
    <xf numFmtId="0" fontId="11" fillId="20" borderId="1" applyAlignment="1" pivotButton="0" quotePrefix="0" xfId="0">
      <alignment horizontal="left" vertical="center" indent="1"/>
    </xf>
    <xf numFmtId="165" fontId="4" fillId="7" borderId="1" applyAlignment="1" pivotButton="0" quotePrefix="0" xfId="0">
      <alignment horizontal="right" vertical="center"/>
    </xf>
    <xf numFmtId="0" fontId="15" fillId="20" borderId="1" applyAlignment="1" pivotButton="0" quotePrefix="0" xfId="0">
      <alignment horizontal="left" vertical="center" indent="2"/>
    </xf>
    <xf numFmtId="0" fontId="3" fillId="16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165" fontId="16" fillId="21" borderId="1" applyAlignment="1" pivotButton="0" quotePrefix="0" xfId="0">
      <alignment horizontal="right" vertical="center"/>
    </xf>
    <xf numFmtId="0" fontId="3" fillId="12" borderId="1" applyAlignment="1" pivotButton="0" quotePrefix="0" xfId="0">
      <alignment horizontal="left" vertical="center" indent="1"/>
    </xf>
    <xf numFmtId="0" fontId="11" fillId="22" borderId="1" applyAlignment="1" pivotButton="0" quotePrefix="0" xfId="0">
      <alignment horizontal="left" vertical="top" wrapText="1" indent="1"/>
    </xf>
    <xf numFmtId="0" fontId="12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 wrapText="1" indent="1"/>
    </xf>
    <xf numFmtId="0" fontId="3" fillId="23" borderId="1" applyAlignment="1" pivotButton="0" quotePrefix="0" xfId="0">
      <alignment horizontal="center" vertical="center"/>
    </xf>
    <xf numFmtId="0" fontId="17" fillId="2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F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8" customWidth="1" min="5" max="5"/>
    <col width="30" customWidth="1" min="6" max="6"/>
  </cols>
  <sheetData>
    <row r="1" ht="32" customHeight="1">
      <c r="A1" s="1" t="inlineStr">
        <is>
          <t>🏛  RÉFÉRENTIEL — Districts &amp; Assemblées  |  TLWM TOGO  |  Version 2026+</t>
        </is>
      </c>
    </row>
    <row r="2" ht="18" customHeight="1">
      <c r="A2" s="2" t="inlineStr">
        <is>
          <t>ℹ️  Ce référentiel liste les districts et assemblées rattachées. À remplir ou mettre à jour par le superviseur de district.</t>
        </is>
      </c>
    </row>
    <row r="3" ht="22" customHeight="1">
      <c r="A3" s="3" t="inlineStr">
        <is>
          <t>Code District</t>
        </is>
      </c>
      <c r="B3" s="3" t="inlineStr">
        <is>
          <t>Nom District</t>
        </is>
      </c>
      <c r="C3" s="4" t="inlineStr">
        <is>
          <t>Code Assemblée</t>
        </is>
      </c>
      <c r="D3" s="4" t="inlineStr">
        <is>
          <t>Nom Assemblée / Cellule</t>
        </is>
      </c>
      <c r="E3" s="4" t="inlineStr">
        <is>
          <t>Type Unité</t>
        </is>
      </c>
      <c r="F3" s="4" t="inlineStr">
        <is>
          <t>Pasteur / Responsable</t>
        </is>
      </c>
    </row>
    <row r="4" ht="18" customHeight="1">
      <c r="A4" s="5" t="n"/>
      <c r="B4" s="5" t="n"/>
      <c r="C4" s="5" t="n"/>
      <c r="D4" s="5" t="n"/>
      <c r="E4" s="5" t="n"/>
      <c r="F4" s="5" t="n"/>
    </row>
    <row r="5" ht="18" customHeight="1">
      <c r="A5" s="6" t="n"/>
      <c r="B5" s="6" t="n"/>
      <c r="C5" s="6" t="n"/>
      <c r="D5" s="6" t="n"/>
      <c r="E5" s="6" t="n"/>
      <c r="F5" s="6" t="n"/>
    </row>
    <row r="6" ht="18" customHeight="1">
      <c r="A6" s="5" t="n"/>
      <c r="B6" s="5" t="n"/>
      <c r="C6" s="5" t="n"/>
      <c r="D6" s="5" t="n"/>
      <c r="E6" s="5" t="n"/>
      <c r="F6" s="5" t="n"/>
    </row>
    <row r="7" ht="18" customHeight="1">
      <c r="A7" s="6" t="n"/>
      <c r="B7" s="6" t="n"/>
      <c r="C7" s="6" t="n"/>
      <c r="D7" s="6" t="n"/>
      <c r="E7" s="6" t="n"/>
      <c r="F7" s="6" t="n"/>
    </row>
    <row r="8" ht="18" customHeight="1">
      <c r="A8" s="5" t="n"/>
      <c r="B8" s="5" t="n"/>
      <c r="C8" s="5" t="n"/>
      <c r="D8" s="5" t="n"/>
      <c r="E8" s="5" t="n"/>
      <c r="F8" s="5" t="n"/>
    </row>
    <row r="9" ht="18" customHeight="1">
      <c r="A9" s="6" t="n"/>
      <c r="B9" s="6" t="n"/>
      <c r="C9" s="6" t="n"/>
      <c r="D9" s="6" t="n"/>
      <c r="E9" s="6" t="n"/>
      <c r="F9" s="6" t="n"/>
    </row>
    <row r="10" ht="18" customHeight="1">
      <c r="A10" s="5" t="n"/>
      <c r="B10" s="5" t="n"/>
      <c r="C10" s="5" t="n"/>
      <c r="D10" s="5" t="n"/>
      <c r="E10" s="5" t="n"/>
      <c r="F10" s="5" t="n"/>
    </row>
    <row r="11" ht="18" customHeight="1">
      <c r="A11" s="6" t="n"/>
      <c r="B11" s="6" t="n"/>
      <c r="C11" s="6" t="n"/>
      <c r="D11" s="6" t="n"/>
      <c r="E11" s="6" t="n"/>
      <c r="F11" s="6" t="n"/>
    </row>
    <row r="12" ht="18" customHeight="1">
      <c r="A12" s="5" t="n"/>
      <c r="B12" s="5" t="n"/>
      <c r="C12" s="5" t="n"/>
      <c r="D12" s="5" t="n"/>
      <c r="E12" s="5" t="n"/>
      <c r="F12" s="5" t="n"/>
    </row>
    <row r="13" ht="18" customHeight="1">
      <c r="A13" s="6" t="n"/>
      <c r="B13" s="6" t="n"/>
      <c r="C13" s="6" t="n"/>
      <c r="D13" s="6" t="n"/>
      <c r="E13" s="6" t="n"/>
      <c r="F13" s="6" t="n"/>
    </row>
    <row r="14" ht="18" customHeight="1">
      <c r="A14" s="5" t="n"/>
      <c r="B14" s="5" t="n"/>
      <c r="C14" s="5" t="n"/>
      <c r="D14" s="5" t="n"/>
      <c r="E14" s="5" t="n"/>
      <c r="F14" s="5" t="n"/>
    </row>
    <row r="15" ht="18" customHeight="1">
      <c r="A15" s="6" t="n"/>
      <c r="B15" s="6" t="n"/>
      <c r="C15" s="6" t="n"/>
      <c r="D15" s="6" t="n"/>
      <c r="E15" s="6" t="n"/>
      <c r="F15" s="6" t="n"/>
    </row>
    <row r="16" ht="18" customHeight="1">
      <c r="A16" s="5" t="n"/>
      <c r="B16" s="5" t="n"/>
      <c r="C16" s="5" t="n"/>
      <c r="D16" s="5" t="n"/>
      <c r="E16" s="5" t="n"/>
      <c r="F16" s="5" t="n"/>
    </row>
    <row r="17" ht="18" customHeight="1">
      <c r="A17" s="6" t="n"/>
      <c r="B17" s="6" t="n"/>
      <c r="C17" s="6" t="n"/>
      <c r="D17" s="6" t="n"/>
      <c r="E17" s="6" t="n"/>
      <c r="F17" s="6" t="n"/>
    </row>
    <row r="18" ht="18" customHeight="1">
      <c r="A18" s="5" t="n"/>
      <c r="B18" s="5" t="n"/>
      <c r="C18" s="5" t="n"/>
      <c r="D18" s="5" t="n"/>
      <c r="E18" s="5" t="n"/>
      <c r="F18" s="5" t="n"/>
    </row>
    <row r="19" ht="18" customHeight="1">
      <c r="A19" s="6" t="n"/>
      <c r="B19" s="6" t="n"/>
      <c r="C19" s="6" t="n"/>
      <c r="D19" s="6" t="n"/>
      <c r="E19" s="6" t="n"/>
      <c r="F19" s="6" t="n"/>
    </row>
    <row r="20" ht="18" customHeight="1">
      <c r="A20" s="5" t="n"/>
      <c r="B20" s="5" t="n"/>
      <c r="C20" s="5" t="n"/>
      <c r="D20" s="5" t="n"/>
      <c r="E20" s="5" t="n"/>
      <c r="F20" s="5" t="n"/>
    </row>
    <row r="21" ht="18" customHeight="1">
      <c r="A21" s="6" t="n"/>
      <c r="B21" s="6" t="n"/>
      <c r="C21" s="6" t="n"/>
      <c r="D21" s="6" t="n"/>
      <c r="E21" s="6" t="n"/>
      <c r="F21" s="6" t="n"/>
    </row>
    <row r="22" ht="18" customHeight="1">
      <c r="A22" s="5" t="n"/>
      <c r="B22" s="5" t="n"/>
      <c r="C22" s="5" t="n"/>
      <c r="D22" s="5" t="n"/>
      <c r="E22" s="5" t="n"/>
      <c r="F22" s="5" t="n"/>
    </row>
    <row r="23" ht="18" customHeight="1">
      <c r="A23" s="6" t="n"/>
      <c r="B23" s="6" t="n"/>
      <c r="C23" s="6" t="n"/>
      <c r="D23" s="6" t="n"/>
      <c r="E23" s="6" t="n"/>
      <c r="F23" s="6" t="n"/>
    </row>
    <row r="24" ht="18" customHeight="1">
      <c r="A24" s="5" t="n"/>
      <c r="B24" s="5" t="n"/>
      <c r="C24" s="5" t="n"/>
      <c r="D24" s="5" t="n"/>
      <c r="E24" s="5" t="n"/>
      <c r="F24" s="5" t="n"/>
    </row>
    <row r="25" ht="18" customHeight="1">
      <c r="A25" s="6" t="n"/>
      <c r="B25" s="6" t="n"/>
      <c r="C25" s="6" t="n"/>
      <c r="D25" s="6" t="n"/>
      <c r="E25" s="6" t="n"/>
      <c r="F25" s="6" t="n"/>
    </row>
    <row r="26" ht="18" customHeight="1">
      <c r="A26" s="5" t="n"/>
      <c r="B26" s="5" t="n"/>
      <c r="C26" s="5" t="n"/>
      <c r="D26" s="5" t="n"/>
      <c r="E26" s="5" t="n"/>
      <c r="F26" s="5" t="n"/>
    </row>
    <row r="27" ht="18" customHeight="1">
      <c r="A27" s="6" t="n"/>
      <c r="B27" s="6" t="n"/>
      <c r="C27" s="6" t="n"/>
      <c r="D27" s="6" t="n"/>
      <c r="E27" s="6" t="n"/>
      <c r="F27" s="6" t="n"/>
    </row>
    <row r="28" ht="18" customHeight="1">
      <c r="A28" s="5" t="n"/>
      <c r="B28" s="5" t="n"/>
      <c r="C28" s="5" t="n"/>
      <c r="D28" s="5" t="n"/>
      <c r="E28" s="5" t="n"/>
      <c r="F28" s="5" t="n"/>
    </row>
    <row r="29" ht="18" customHeight="1">
      <c r="A29" s="6" t="n"/>
      <c r="B29" s="6" t="n"/>
      <c r="C29" s="6" t="n"/>
      <c r="D29" s="6" t="n"/>
      <c r="E29" s="6" t="n"/>
      <c r="F29" s="6" t="n"/>
    </row>
    <row r="30" ht="18" customHeight="1">
      <c r="A30" s="5" t="n"/>
      <c r="B30" s="5" t="n"/>
      <c r="C30" s="5" t="n"/>
      <c r="D30" s="5" t="n"/>
      <c r="E30" s="5" t="n"/>
      <c r="F30" s="5" t="n"/>
    </row>
    <row r="31" ht="18" customHeight="1">
      <c r="A31" s="6" t="n"/>
      <c r="B31" s="6" t="n"/>
      <c r="C31" s="6" t="n"/>
      <c r="D31" s="6" t="n"/>
      <c r="E31" s="6" t="n"/>
      <c r="F31" s="6" t="n"/>
    </row>
    <row r="32" ht="18" customHeight="1">
      <c r="A32" s="5" t="n"/>
      <c r="B32" s="5" t="n"/>
      <c r="C32" s="5" t="n"/>
      <c r="D32" s="5" t="n"/>
      <c r="E32" s="5" t="n"/>
      <c r="F32" s="5" t="n"/>
    </row>
    <row r="33" ht="18" customHeight="1">
      <c r="A33" s="6" t="n"/>
      <c r="B33" s="6" t="n"/>
      <c r="C33" s="6" t="n"/>
      <c r="D33" s="6" t="n"/>
      <c r="E33" s="6" t="n"/>
      <c r="F33" s="6" t="n"/>
    </row>
    <row r="35" ht="30" customHeight="1">
      <c r="A35" s="7" t="inlineStr">
        <is>
          <t>💡  Codes District suggérés : D-LOM (Lomé), D-KPA (Kpalimé), D-ATA (Atakpamé), D-SOK (Sokodé), D-KAR (Kara), D-DAP (Dapaong), D-NOT (Notsé), D-TSE (Tsévié), D-ANE (Aného), D-VOG (Vogan), D-BAS (Bassar)</t>
        </is>
      </c>
    </row>
  </sheetData>
  <mergeCells count="3">
    <mergeCell ref="A2:F2"/>
    <mergeCell ref="A1:F1"/>
    <mergeCell ref="A35:F35"/>
  </mergeCells>
  <dataValidations count="1">
    <dataValidation sqref="E4:E33" showDropDown="0" showInputMessage="0" showErrorMessage="0" allowBlank="1" type="list">
      <formula1>"Assemblée,Cellule,Groupe Mission"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42" customWidth="1" min="3" max="3"/>
  </cols>
  <sheetData>
    <row r="1" ht="46" customHeight="1">
      <c r="A1" s="8" t="inlineStr">
        <is>
          <t>🏢  RAPPORT MENSUEL — DISTRICT
TLWM TOGO</t>
        </is>
      </c>
    </row>
    <row r="2" ht="22" customHeight="1">
      <c r="A2" s="9" t="inlineStr">
        <is>
          <t>📌  Version 2026+  |  Un seul fichier par district par mois.  Format standardisé TLWM.</t>
        </is>
      </c>
    </row>
    <row r="3" ht="26" customHeight="1">
      <c r="A3" s="10" t="inlineStr">
        <is>
          <t>📋  IDENTIFICATION DU RAPPORT</t>
        </is>
      </c>
    </row>
    <row r="4" ht="20" customHeight="1">
      <c r="A4" s="11" t="inlineStr">
        <is>
          <t>Année</t>
        </is>
      </c>
      <c r="B4" s="12" t="n"/>
      <c r="C4" s="13" t="inlineStr">
        <is>
          <t>Ex: 2026</t>
        </is>
      </c>
    </row>
    <row r="5" ht="20" customHeight="1">
      <c r="A5" s="14" t="inlineStr">
        <is>
          <t>Mois</t>
        </is>
      </c>
      <c r="B5" s="12" t="n"/>
      <c r="C5" s="15" t="inlineStr">
        <is>
          <t>Ex: Janvier</t>
        </is>
      </c>
    </row>
    <row r="6" ht="20" customHeight="1">
      <c r="A6" s="11" t="inlineStr">
        <is>
          <t>Version du format</t>
        </is>
      </c>
      <c r="B6" s="12" t="n"/>
      <c r="C6" s="13" t="inlineStr">
        <is>
          <t>V1-2026</t>
        </is>
      </c>
    </row>
    <row r="7" ht="20" customHeight="1">
      <c r="A7" s="14" t="inlineStr">
        <is>
          <t>Code District</t>
        </is>
      </c>
      <c r="B7" s="12" t="n"/>
      <c r="C7" s="15" t="inlineStr">
        <is>
          <t>Ex: D-LOM</t>
        </is>
      </c>
    </row>
    <row r="8" ht="20" customHeight="1">
      <c r="A8" s="11" t="inlineStr">
        <is>
          <t>Nom District</t>
        </is>
      </c>
      <c r="B8" s="12" t="n"/>
      <c r="C8" s="13" t="inlineStr">
        <is>
          <t>Ex: District Littoral (Lomé)</t>
        </is>
      </c>
    </row>
    <row r="9" ht="20" customHeight="1">
      <c r="A9" s="14" t="inlineStr">
        <is>
          <t>Superviseur de District</t>
        </is>
      </c>
      <c r="B9" s="12" t="n"/>
      <c r="C9" s="15" t="inlineStr">
        <is>
          <t>Nom et Prénom complet</t>
        </is>
      </c>
    </row>
    <row r="10" ht="20" customHeight="1">
      <c r="A10" s="11" t="inlineStr">
        <is>
          <t>Contact Superviseur (téléphone)</t>
        </is>
      </c>
      <c r="B10" s="12" t="n"/>
      <c r="C10" s="13" t="inlineStr">
        <is>
          <t>Ex: +228 9X XX XX XX</t>
        </is>
      </c>
    </row>
    <row r="11" ht="20" customHeight="1">
      <c r="A11" s="14" t="inlineStr">
        <is>
          <t>Nombre d'assemblées actives</t>
        </is>
      </c>
      <c r="B11" s="12" t="n"/>
      <c r="C11" s="15" t="inlineStr">
        <is>
          <t>Nombre entier</t>
        </is>
      </c>
    </row>
    <row r="12" ht="20" customHeight="1">
      <c r="A12" s="11" t="inlineStr">
        <is>
          <t>Nombre de cellules actives</t>
        </is>
      </c>
      <c r="B12" s="12" t="n"/>
      <c r="C12" s="13" t="inlineStr">
        <is>
          <t>Nombre entier</t>
        </is>
      </c>
    </row>
    <row r="13" ht="20" customHeight="1">
      <c r="A13" s="14" t="inlineStr">
        <is>
          <t>Rapports assemblées reçus (nb/total)</t>
        </is>
      </c>
      <c r="B13" s="12" t="n"/>
      <c r="C13" s="15" t="inlineStr">
        <is>
          <t>Ex: 4/5</t>
        </is>
      </c>
    </row>
    <row r="14" ht="20" customHeight="1">
      <c r="A14" s="11" t="inlineStr">
        <is>
          <t>Date soumission au National</t>
        </is>
      </c>
      <c r="B14" s="12" t="n"/>
      <c r="C14" s="13" t="inlineStr">
        <is>
          <t>JJ/MM/AAAA</t>
        </is>
      </c>
    </row>
    <row r="15" ht="20" customHeight="1">
      <c r="A15" s="14" t="inlineStr">
        <is>
          <t>Statut du rapport</t>
        </is>
      </c>
      <c r="B15" s="12" t="n"/>
      <c r="C15" s="15" t="inlineStr">
        <is>
          <t>Sélectionner dans la liste</t>
        </is>
      </c>
    </row>
  </sheetData>
  <mergeCells count="3">
    <mergeCell ref="A1:C1"/>
    <mergeCell ref="A3:C3"/>
    <mergeCell ref="A2:C2"/>
  </mergeCells>
  <dataValidations count="2">
    <dataValidation sqref="B5" showDropDown="0" showInputMessage="0" showErrorMessage="0" allowBlank="1" type="list">
      <formula1>"Janvier,Février,Mars,Avril,Mai,Juin,Juillet,Août,Septembre,Octobre,Novembre,Décembre"</formula1>
    </dataValidation>
    <dataValidation sqref="B15" showDropDown="0" showInputMessage="0" showErrorMessage="0" allowBlank="1" type="list">
      <formula1>"Brouillon,Soumis,Validé,Rejeté"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6DA4"/>
    <outlinePr summaryBelow="1" summaryRight="1"/>
    <pageSetUpPr/>
  </sheetPr>
  <dimension ref="A1:Q3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28" customWidth="1" min="17" max="17"/>
  </cols>
  <sheetData>
    <row r="1" ht="30" customHeight="1">
      <c r="A1" s="16" t="inlineStr">
        <is>
          <t>📊  SYNTHÈSE DES ASSEMBLÉES &amp; CELLULES DU DISTRICT — Mois : ___________  Année : ______</t>
        </is>
      </c>
    </row>
    <row r="2" ht="16" customHeight="1">
      <c r="A2" s="2" t="inlineStr">
        <is>
          <t>ℹ️  Une ligne par unité (Assemblée ou Cellule). Issues des rapports mensuels reçus. Les totaux sont calculés automatiquement.</t>
        </is>
      </c>
    </row>
    <row r="3" ht="32" customHeight="1">
      <c r="A3" s="17" t="inlineStr">
        <is>
          <t>Code</t>
        </is>
      </c>
      <c r="B3" s="17" t="inlineStr">
        <is>
          <t>Nom Assemblée
/ Cellule</t>
        </is>
      </c>
      <c r="C3" s="17" t="inlineStr">
        <is>
          <t>Type</t>
        </is>
      </c>
      <c r="D3" s="18" t="inlineStr">
        <is>
          <t>Rapport
Reçu</t>
        </is>
      </c>
      <c r="E3" s="18" t="inlineStr">
        <is>
          <t>Membres
Actifs</t>
        </is>
      </c>
      <c r="F3" s="18" t="inlineStr">
        <is>
          <t>Ajoutés
ce mois</t>
        </is>
      </c>
      <c r="G3" s="18" t="inlineStr">
        <is>
          <t>Sémin.
en Asb</t>
        </is>
      </c>
      <c r="H3" s="18" t="inlineStr">
        <is>
          <t>Sémin.
Hors Asb</t>
        </is>
      </c>
      <c r="I3" s="18" t="inlineStr">
        <is>
          <t>Assist.
Cultes</t>
        </is>
      </c>
      <c r="J3" s="18" t="inlineStr">
        <is>
          <t>Assist.
Mission</t>
        </is>
      </c>
      <c r="K3" s="19" t="inlineStr">
        <is>
          <t>Sauvés</t>
        </is>
      </c>
      <c r="L3" s="19" t="inlineStr">
        <is>
          <t>Témoig.</t>
        </is>
      </c>
      <c r="M3" s="19" t="inlineStr">
        <is>
          <t>Invités</t>
        </is>
      </c>
      <c r="N3" s="20" t="inlineStr">
        <is>
          <t>Prédicat.</t>
        </is>
      </c>
      <c r="O3" s="20" t="inlineStr">
        <is>
          <t>Pasteurs</t>
        </is>
      </c>
      <c r="P3" s="21" t="inlineStr">
        <is>
          <t>Recettes
(FCFA)</t>
        </is>
      </c>
      <c r="Q3" s="22" t="inlineStr">
        <is>
          <t>Observations</t>
        </is>
      </c>
    </row>
    <row r="4" ht="22" customHeight="1">
      <c r="A4" s="23" t="inlineStr">
        <is>
          <t>TOTAUX DISTRICT</t>
        </is>
      </c>
      <c r="B4" s="24" t="n"/>
      <c r="C4" s="24" t="n"/>
      <c r="D4" s="24" t="n"/>
      <c r="E4" s="25">
        <f>IFERROR(SUM(E5:E32),0)</f>
        <v/>
      </c>
      <c r="F4" s="25">
        <f>IFERROR(SUM(F5:F32),0)</f>
        <v/>
      </c>
      <c r="G4" s="25">
        <f>IFERROR(SUM(G5:G32),0)</f>
        <v/>
      </c>
      <c r="H4" s="25">
        <f>IFERROR(SUM(H5:H32),0)</f>
        <v/>
      </c>
      <c r="I4" s="25">
        <f>IFERROR(SUM(I5:I32),0)</f>
        <v/>
      </c>
      <c r="J4" s="25">
        <f>IFERROR(SUM(J5:J32),0)</f>
        <v/>
      </c>
      <c r="K4" s="25">
        <f>IFERROR(SUM(K5:K32),0)</f>
        <v/>
      </c>
      <c r="L4" s="25">
        <f>IFERROR(SUM(L5:L32),0)</f>
        <v/>
      </c>
      <c r="M4" s="25">
        <f>IFERROR(SUM(M5:M32),0)</f>
        <v/>
      </c>
      <c r="N4" s="25">
        <f>IFERROR(SUM(N5:N32),0)</f>
        <v/>
      </c>
      <c r="O4" s="25">
        <f>IFERROR(SUM(O5:O32),0)</f>
        <v/>
      </c>
      <c r="P4" s="25">
        <f>IFERROR(SUM(P5:P32),0)</f>
        <v/>
      </c>
      <c r="Q4" s="24" t="n"/>
    </row>
    <row r="5" ht="18" customHeight="1">
      <c r="A5" s="26" t="n"/>
      <c r="B5" s="26" t="n"/>
      <c r="C5" s="26" t="n"/>
      <c r="D5" s="26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8" t="n"/>
    </row>
    <row r="6" ht="18" customHeight="1">
      <c r="A6" s="29" t="n"/>
      <c r="B6" s="29" t="n"/>
      <c r="C6" s="29" t="n"/>
      <c r="D6" s="29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1" t="n"/>
    </row>
    <row r="7" ht="18" customHeight="1">
      <c r="A7" s="26" t="n"/>
      <c r="B7" s="26" t="n"/>
      <c r="C7" s="26" t="n"/>
      <c r="D7" s="26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</row>
    <row r="8" ht="18" customHeight="1">
      <c r="A8" s="29" t="n"/>
      <c r="B8" s="29" t="n"/>
      <c r="C8" s="29" t="n"/>
      <c r="D8" s="29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1" t="n"/>
    </row>
    <row r="9" ht="18" customHeight="1">
      <c r="A9" s="26" t="n"/>
      <c r="B9" s="26" t="n"/>
      <c r="C9" s="26" t="n"/>
      <c r="D9" s="26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8" t="n"/>
    </row>
    <row r="10" ht="18" customHeight="1">
      <c r="A10" s="29" t="n"/>
      <c r="B10" s="29" t="n"/>
      <c r="C10" s="29" t="n"/>
      <c r="D10" s="29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1" t="n"/>
    </row>
    <row r="11" ht="18" customHeight="1">
      <c r="A11" s="26" t="n"/>
      <c r="B11" s="26" t="n"/>
      <c r="C11" s="26" t="n"/>
      <c r="D11" s="26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8" t="n"/>
    </row>
    <row r="12" ht="18" customHeight="1">
      <c r="A12" s="29" t="n"/>
      <c r="B12" s="29" t="n"/>
      <c r="C12" s="29" t="n"/>
      <c r="D12" s="29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1" t="n"/>
    </row>
    <row r="13" ht="18" customHeight="1">
      <c r="A13" s="26" t="n"/>
      <c r="B13" s="26" t="n"/>
      <c r="C13" s="26" t="n"/>
      <c r="D13" s="26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8" t="n"/>
    </row>
    <row r="14" ht="18" customHeight="1">
      <c r="A14" s="29" t="n"/>
      <c r="B14" s="29" t="n"/>
      <c r="C14" s="29" t="n"/>
      <c r="D14" s="29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1" t="n"/>
    </row>
    <row r="15" ht="18" customHeight="1">
      <c r="A15" s="26" t="n"/>
      <c r="B15" s="26" t="n"/>
      <c r="C15" s="26" t="n"/>
      <c r="D15" s="26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8" t="n"/>
    </row>
    <row r="16" ht="18" customHeight="1">
      <c r="A16" s="29" t="n"/>
      <c r="B16" s="29" t="n"/>
      <c r="C16" s="29" t="n"/>
      <c r="D16" s="29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1" t="n"/>
    </row>
    <row r="17" ht="18" customHeight="1">
      <c r="A17" s="26" t="n"/>
      <c r="B17" s="26" t="n"/>
      <c r="C17" s="26" t="n"/>
      <c r="D17" s="26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8" t="n"/>
    </row>
    <row r="18" ht="18" customHeight="1">
      <c r="A18" s="29" t="n"/>
      <c r="B18" s="29" t="n"/>
      <c r="C18" s="29" t="n"/>
      <c r="D18" s="29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1" t="n"/>
    </row>
    <row r="19" ht="18" customHeight="1">
      <c r="A19" s="26" t="n"/>
      <c r="B19" s="26" t="n"/>
      <c r="C19" s="26" t="n"/>
      <c r="D19" s="26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8" t="n"/>
    </row>
    <row r="20" ht="18" customHeight="1">
      <c r="A20" s="29" t="n"/>
      <c r="B20" s="29" t="n"/>
      <c r="C20" s="29" t="n"/>
      <c r="D20" s="29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1" t="n"/>
    </row>
    <row r="21" ht="18" customHeight="1">
      <c r="A21" s="26" t="n"/>
      <c r="B21" s="26" t="n"/>
      <c r="C21" s="26" t="n"/>
      <c r="D21" s="26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8" t="n"/>
    </row>
    <row r="22" ht="18" customHeight="1">
      <c r="A22" s="29" t="n"/>
      <c r="B22" s="29" t="n"/>
      <c r="C22" s="29" t="n"/>
      <c r="D22" s="29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1" t="n"/>
    </row>
    <row r="23" ht="18" customHeight="1">
      <c r="A23" s="26" t="n"/>
      <c r="B23" s="26" t="n"/>
      <c r="C23" s="26" t="n"/>
      <c r="D23" s="26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8" t="n"/>
    </row>
    <row r="24" ht="18" customHeight="1">
      <c r="A24" s="29" t="n"/>
      <c r="B24" s="29" t="n"/>
      <c r="C24" s="29" t="n"/>
      <c r="D24" s="29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1" t="n"/>
    </row>
    <row r="25" ht="18" customHeight="1">
      <c r="A25" s="26" t="n"/>
      <c r="B25" s="26" t="n"/>
      <c r="C25" s="26" t="n"/>
      <c r="D25" s="26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8" t="n"/>
    </row>
    <row r="26" ht="18" customHeight="1">
      <c r="A26" s="29" t="n"/>
      <c r="B26" s="29" t="n"/>
      <c r="C26" s="29" t="n"/>
      <c r="D26" s="29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1" t="n"/>
    </row>
    <row r="27" ht="18" customHeight="1">
      <c r="A27" s="26" t="n"/>
      <c r="B27" s="26" t="n"/>
      <c r="C27" s="26" t="n"/>
      <c r="D27" s="26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8" t="n"/>
    </row>
    <row r="28" ht="18" customHeight="1">
      <c r="A28" s="29" t="n"/>
      <c r="B28" s="29" t="n"/>
      <c r="C28" s="29" t="n"/>
      <c r="D28" s="29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1" t="n"/>
    </row>
    <row r="29" ht="18" customHeight="1">
      <c r="A29" s="26" t="n"/>
      <c r="B29" s="26" t="n"/>
      <c r="C29" s="26" t="n"/>
      <c r="D29" s="26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8" t="n"/>
    </row>
    <row r="30" ht="18" customHeight="1">
      <c r="A30" s="29" t="n"/>
      <c r="B30" s="29" t="n"/>
      <c r="C30" s="29" t="n"/>
      <c r="D30" s="29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1" t="n"/>
    </row>
    <row r="31" ht="18" customHeight="1">
      <c r="A31" s="26" t="n"/>
      <c r="B31" s="26" t="n"/>
      <c r="C31" s="26" t="n"/>
      <c r="D31" s="26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8" t="n"/>
    </row>
    <row r="32" ht="18" customHeight="1">
      <c r="A32" s="29" t="n"/>
      <c r="B32" s="29" t="n"/>
      <c r="C32" s="29" t="n"/>
      <c r="D32" s="29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1" t="n"/>
    </row>
  </sheetData>
  <mergeCells count="3">
    <mergeCell ref="A2:Q2"/>
    <mergeCell ref="A4:D4"/>
    <mergeCell ref="A1:Q1"/>
  </mergeCells>
  <dataValidations count="2">
    <dataValidation sqref="D5:D32" showDropDown="0" showInputMessage="0" showErrorMessage="0" allowBlank="1" type="list">
      <formula1>"Oui,Non,Partiel"</formula1>
    </dataValidation>
    <dataValidation sqref="C5:C32" showDropDown="0" showInputMessage="0" showErrorMessage="0" allowBlank="1" type="list">
      <formula1>"Assemblée,Cellule,Groupe Mission"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M2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38" customWidth="1" min="3" max="3"/>
    <col width="22" customWidth="1" min="4" max="4"/>
    <col width="8" customWidth="1" min="5" max="5"/>
    <col width="26" customWidth="1" min="6" max="6"/>
    <col width="36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 ht="28" customHeight="1">
      <c r="A1" s="32" t="inlineStr">
        <is>
          <t>⚡  ACTIVITÉS PROPRES DU DISTRICT — Événements non imputables à une assemblée précise</t>
        </is>
      </c>
    </row>
    <row r="2" ht="20" customHeight="1">
      <c r="A2" s="33" t="inlineStr">
        <is>
          <t>ℹ️  Saisir ici : Formations, CPPD, Réunions de pasteurs, Évangélisations de district, Séminaires inter-assemblées, etc. NE PAS inclure les activités propres à une assemblée particulière.</t>
        </is>
      </c>
    </row>
    <row r="3" ht="32" customHeight="1">
      <c r="A3" s="34" t="inlineStr">
        <is>
          <t>Date</t>
        </is>
      </c>
      <c r="B3" s="34" t="inlineStr">
        <is>
          <t>Type d'activité</t>
        </is>
      </c>
      <c r="C3" s="34" t="inlineStr">
        <is>
          <t>Nom de l'activité</t>
        </is>
      </c>
      <c r="D3" s="34" t="inlineStr">
        <is>
          <t>Lieu</t>
        </is>
      </c>
      <c r="E3" s="35" t="inlineStr">
        <is>
          <t>Nb
Jours</t>
        </is>
      </c>
      <c r="F3" s="35" t="inlineStr">
        <is>
          <t>Intervenant
Principal</t>
        </is>
      </c>
      <c r="G3" s="35" t="inlineStr">
        <is>
          <t>Thème / Module</t>
        </is>
      </c>
      <c r="H3" s="35" t="inlineStr">
        <is>
          <t>Hommes</t>
        </is>
      </c>
      <c r="I3" s="35" t="inlineStr">
        <is>
          <t>Femmes</t>
        </is>
      </c>
      <c r="J3" s="35" t="inlineStr">
        <is>
          <t>Jeunes
(- 25 ans)</t>
        </is>
      </c>
      <c r="K3" s="34" t="inlineStr">
        <is>
          <t>Assist.
Totale</t>
        </is>
      </c>
      <c r="L3" s="21" t="inlineStr">
        <is>
          <t>Budget
(FCFA)</t>
        </is>
      </c>
      <c r="M3" s="36" t="inlineStr">
        <is>
          <t>Dépenses
(FCFA)</t>
        </is>
      </c>
    </row>
    <row r="4" ht="22" customHeight="1">
      <c r="A4" s="37" t="inlineStr">
        <is>
          <t>TOTAUX</t>
        </is>
      </c>
      <c r="B4" s="38" t="n"/>
      <c r="C4" s="38" t="n"/>
      <c r="D4" s="38" t="n"/>
      <c r="E4" s="38" t="n"/>
      <c r="F4" s="38" t="n"/>
      <c r="G4" s="38" t="n"/>
      <c r="H4" s="39">
        <f>IFERROR(SUM(H5:H24),0)</f>
        <v/>
      </c>
      <c r="I4" s="39">
        <f>IFERROR(SUM(I5:I24),0)</f>
        <v/>
      </c>
      <c r="J4" s="39">
        <f>IFERROR(SUM(J5:J24),0)</f>
        <v/>
      </c>
      <c r="K4" s="39">
        <f>IFERROR(SUM(K5:K24),0)</f>
        <v/>
      </c>
      <c r="L4" s="39">
        <f>IFERROR(SUM(L5:L24),0)</f>
        <v/>
      </c>
      <c r="M4" s="39">
        <f>IFERROR(SUM(M5:M24),0)</f>
        <v/>
      </c>
    </row>
    <row r="5" ht="18" customHeight="1">
      <c r="A5" s="40" t="n"/>
      <c r="B5" s="26" t="n"/>
      <c r="C5" s="26" t="n"/>
      <c r="D5" s="26" t="n"/>
      <c r="E5" s="41" t="n"/>
      <c r="F5" s="26" t="n"/>
      <c r="G5" s="26" t="n"/>
      <c r="H5" s="27" t="n"/>
      <c r="I5" s="27" t="n"/>
      <c r="J5" s="27" t="n"/>
      <c r="K5" s="42">
        <f>IFERROR(H5+I5+J5,"")</f>
        <v/>
      </c>
      <c r="L5" s="27" t="n"/>
      <c r="M5" s="27" t="n"/>
    </row>
    <row r="6" ht="18" customHeight="1">
      <c r="A6" s="43" t="n"/>
      <c r="B6" s="29" t="n"/>
      <c r="C6" s="29" t="n"/>
      <c r="D6" s="29" t="n"/>
      <c r="E6" s="44" t="n"/>
      <c r="F6" s="29" t="n"/>
      <c r="G6" s="29" t="n"/>
      <c r="H6" s="30" t="n"/>
      <c r="I6" s="30" t="n"/>
      <c r="J6" s="30" t="n"/>
      <c r="K6" s="45">
        <f>IFERROR(H6+I6+J6,"")</f>
        <v/>
      </c>
      <c r="L6" s="30" t="n"/>
      <c r="M6" s="30" t="n"/>
    </row>
    <row r="7" ht="18" customHeight="1">
      <c r="A7" s="40" t="n"/>
      <c r="B7" s="26" t="n"/>
      <c r="C7" s="26" t="n"/>
      <c r="D7" s="26" t="n"/>
      <c r="E7" s="41" t="n"/>
      <c r="F7" s="26" t="n"/>
      <c r="G7" s="26" t="n"/>
      <c r="H7" s="27" t="n"/>
      <c r="I7" s="27" t="n"/>
      <c r="J7" s="27" t="n"/>
      <c r="K7" s="42">
        <f>IFERROR(H7+I7+J7,"")</f>
        <v/>
      </c>
      <c r="L7" s="27" t="n"/>
      <c r="M7" s="27" t="n"/>
    </row>
    <row r="8" ht="18" customHeight="1">
      <c r="A8" s="43" t="n"/>
      <c r="B8" s="29" t="n"/>
      <c r="C8" s="29" t="n"/>
      <c r="D8" s="29" t="n"/>
      <c r="E8" s="44" t="n"/>
      <c r="F8" s="29" t="n"/>
      <c r="G8" s="29" t="n"/>
      <c r="H8" s="30" t="n"/>
      <c r="I8" s="30" t="n"/>
      <c r="J8" s="30" t="n"/>
      <c r="K8" s="45">
        <f>IFERROR(H8+I8+J8,"")</f>
        <v/>
      </c>
      <c r="L8" s="30" t="n"/>
      <c r="M8" s="30" t="n"/>
    </row>
    <row r="9" ht="18" customHeight="1">
      <c r="A9" s="40" t="n"/>
      <c r="B9" s="26" t="n"/>
      <c r="C9" s="26" t="n"/>
      <c r="D9" s="26" t="n"/>
      <c r="E9" s="41" t="n"/>
      <c r="F9" s="26" t="n"/>
      <c r="G9" s="26" t="n"/>
      <c r="H9" s="27" t="n"/>
      <c r="I9" s="27" t="n"/>
      <c r="J9" s="27" t="n"/>
      <c r="K9" s="42">
        <f>IFERROR(H9+I9+J9,"")</f>
        <v/>
      </c>
      <c r="L9" s="27" t="n"/>
      <c r="M9" s="27" t="n"/>
    </row>
    <row r="10" ht="18" customHeight="1">
      <c r="A10" s="43" t="n"/>
      <c r="B10" s="29" t="n"/>
      <c r="C10" s="29" t="n"/>
      <c r="D10" s="29" t="n"/>
      <c r="E10" s="44" t="n"/>
      <c r="F10" s="29" t="n"/>
      <c r="G10" s="29" t="n"/>
      <c r="H10" s="30" t="n"/>
      <c r="I10" s="30" t="n"/>
      <c r="J10" s="30" t="n"/>
      <c r="K10" s="45">
        <f>IFERROR(H10+I10+J10,"")</f>
        <v/>
      </c>
      <c r="L10" s="30" t="n"/>
      <c r="M10" s="30" t="n"/>
    </row>
    <row r="11" ht="18" customHeight="1">
      <c r="A11" s="40" t="n"/>
      <c r="B11" s="26" t="n"/>
      <c r="C11" s="26" t="n"/>
      <c r="D11" s="26" t="n"/>
      <c r="E11" s="41" t="n"/>
      <c r="F11" s="26" t="n"/>
      <c r="G11" s="26" t="n"/>
      <c r="H11" s="27" t="n"/>
      <c r="I11" s="27" t="n"/>
      <c r="J11" s="27" t="n"/>
      <c r="K11" s="42">
        <f>IFERROR(H11+I11+J11,"")</f>
        <v/>
      </c>
      <c r="L11" s="27" t="n"/>
      <c r="M11" s="27" t="n"/>
    </row>
    <row r="12" ht="18" customHeight="1">
      <c r="A12" s="43" t="n"/>
      <c r="B12" s="29" t="n"/>
      <c r="C12" s="29" t="n"/>
      <c r="D12" s="29" t="n"/>
      <c r="E12" s="44" t="n"/>
      <c r="F12" s="29" t="n"/>
      <c r="G12" s="29" t="n"/>
      <c r="H12" s="30" t="n"/>
      <c r="I12" s="30" t="n"/>
      <c r="J12" s="30" t="n"/>
      <c r="K12" s="45">
        <f>IFERROR(H12+I12+J12,"")</f>
        <v/>
      </c>
      <c r="L12" s="30" t="n"/>
      <c r="M12" s="30" t="n"/>
    </row>
    <row r="13" ht="18" customHeight="1">
      <c r="A13" s="40" t="n"/>
      <c r="B13" s="26" t="n"/>
      <c r="C13" s="26" t="n"/>
      <c r="D13" s="26" t="n"/>
      <c r="E13" s="41" t="n"/>
      <c r="F13" s="26" t="n"/>
      <c r="G13" s="26" t="n"/>
      <c r="H13" s="27" t="n"/>
      <c r="I13" s="27" t="n"/>
      <c r="J13" s="27" t="n"/>
      <c r="K13" s="42">
        <f>IFERROR(H13+I13+J13,"")</f>
        <v/>
      </c>
      <c r="L13" s="27" t="n"/>
      <c r="M13" s="27" t="n"/>
    </row>
    <row r="14" ht="18" customHeight="1">
      <c r="A14" s="43" t="n"/>
      <c r="B14" s="29" t="n"/>
      <c r="C14" s="29" t="n"/>
      <c r="D14" s="29" t="n"/>
      <c r="E14" s="44" t="n"/>
      <c r="F14" s="29" t="n"/>
      <c r="G14" s="29" t="n"/>
      <c r="H14" s="30" t="n"/>
      <c r="I14" s="30" t="n"/>
      <c r="J14" s="30" t="n"/>
      <c r="K14" s="45">
        <f>IFERROR(H14+I14+J14,"")</f>
        <v/>
      </c>
      <c r="L14" s="30" t="n"/>
      <c r="M14" s="30" t="n"/>
    </row>
    <row r="15" ht="18" customHeight="1">
      <c r="A15" s="40" t="n"/>
      <c r="B15" s="26" t="n"/>
      <c r="C15" s="26" t="n"/>
      <c r="D15" s="26" t="n"/>
      <c r="E15" s="41" t="n"/>
      <c r="F15" s="26" t="n"/>
      <c r="G15" s="26" t="n"/>
      <c r="H15" s="27" t="n"/>
      <c r="I15" s="27" t="n"/>
      <c r="J15" s="27" t="n"/>
      <c r="K15" s="42">
        <f>IFERROR(H15+I15+J15,"")</f>
        <v/>
      </c>
      <c r="L15" s="27" t="n"/>
      <c r="M15" s="27" t="n"/>
    </row>
    <row r="16" ht="18" customHeight="1">
      <c r="A16" s="43" t="n"/>
      <c r="B16" s="29" t="n"/>
      <c r="C16" s="29" t="n"/>
      <c r="D16" s="29" t="n"/>
      <c r="E16" s="44" t="n"/>
      <c r="F16" s="29" t="n"/>
      <c r="G16" s="29" t="n"/>
      <c r="H16" s="30" t="n"/>
      <c r="I16" s="30" t="n"/>
      <c r="J16" s="30" t="n"/>
      <c r="K16" s="45">
        <f>IFERROR(H16+I16+J16,"")</f>
        <v/>
      </c>
      <c r="L16" s="30" t="n"/>
      <c r="M16" s="30" t="n"/>
    </row>
    <row r="17" ht="18" customHeight="1">
      <c r="A17" s="40" t="n"/>
      <c r="B17" s="26" t="n"/>
      <c r="C17" s="26" t="n"/>
      <c r="D17" s="26" t="n"/>
      <c r="E17" s="41" t="n"/>
      <c r="F17" s="26" t="n"/>
      <c r="G17" s="26" t="n"/>
      <c r="H17" s="27" t="n"/>
      <c r="I17" s="27" t="n"/>
      <c r="J17" s="27" t="n"/>
      <c r="K17" s="42">
        <f>IFERROR(H17+I17+J17,"")</f>
        <v/>
      </c>
      <c r="L17" s="27" t="n"/>
      <c r="M17" s="27" t="n"/>
    </row>
    <row r="18" ht="18" customHeight="1">
      <c r="A18" s="43" t="n"/>
      <c r="B18" s="29" t="n"/>
      <c r="C18" s="29" t="n"/>
      <c r="D18" s="29" t="n"/>
      <c r="E18" s="44" t="n"/>
      <c r="F18" s="29" t="n"/>
      <c r="G18" s="29" t="n"/>
      <c r="H18" s="30" t="n"/>
      <c r="I18" s="30" t="n"/>
      <c r="J18" s="30" t="n"/>
      <c r="K18" s="45">
        <f>IFERROR(H18+I18+J18,"")</f>
        <v/>
      </c>
      <c r="L18" s="30" t="n"/>
      <c r="M18" s="30" t="n"/>
    </row>
    <row r="19" ht="18" customHeight="1">
      <c r="A19" s="40" t="n"/>
      <c r="B19" s="26" t="n"/>
      <c r="C19" s="26" t="n"/>
      <c r="D19" s="26" t="n"/>
      <c r="E19" s="41" t="n"/>
      <c r="F19" s="26" t="n"/>
      <c r="G19" s="26" t="n"/>
      <c r="H19" s="27" t="n"/>
      <c r="I19" s="27" t="n"/>
      <c r="J19" s="27" t="n"/>
      <c r="K19" s="42">
        <f>IFERROR(H19+I19+J19,"")</f>
        <v/>
      </c>
      <c r="L19" s="27" t="n"/>
      <c r="M19" s="27" t="n"/>
    </row>
    <row r="20" ht="18" customHeight="1">
      <c r="A20" s="43" t="n"/>
      <c r="B20" s="29" t="n"/>
      <c r="C20" s="29" t="n"/>
      <c r="D20" s="29" t="n"/>
      <c r="E20" s="44" t="n"/>
      <c r="F20" s="29" t="n"/>
      <c r="G20" s="29" t="n"/>
      <c r="H20" s="30" t="n"/>
      <c r="I20" s="30" t="n"/>
      <c r="J20" s="30" t="n"/>
      <c r="K20" s="45">
        <f>IFERROR(H20+I20+J20,"")</f>
        <v/>
      </c>
      <c r="L20" s="30" t="n"/>
      <c r="M20" s="30" t="n"/>
    </row>
    <row r="21" ht="18" customHeight="1">
      <c r="A21" s="40" t="n"/>
      <c r="B21" s="26" t="n"/>
      <c r="C21" s="26" t="n"/>
      <c r="D21" s="26" t="n"/>
      <c r="E21" s="41" t="n"/>
      <c r="F21" s="26" t="n"/>
      <c r="G21" s="26" t="n"/>
      <c r="H21" s="27" t="n"/>
      <c r="I21" s="27" t="n"/>
      <c r="J21" s="27" t="n"/>
      <c r="K21" s="42">
        <f>IFERROR(H21+I21+J21,"")</f>
        <v/>
      </c>
      <c r="L21" s="27" t="n"/>
      <c r="M21" s="27" t="n"/>
    </row>
    <row r="22" ht="18" customHeight="1">
      <c r="A22" s="43" t="n"/>
      <c r="B22" s="29" t="n"/>
      <c r="C22" s="29" t="n"/>
      <c r="D22" s="29" t="n"/>
      <c r="E22" s="44" t="n"/>
      <c r="F22" s="29" t="n"/>
      <c r="G22" s="29" t="n"/>
      <c r="H22" s="30" t="n"/>
      <c r="I22" s="30" t="n"/>
      <c r="J22" s="30" t="n"/>
      <c r="K22" s="45">
        <f>IFERROR(H22+I22+J22,"")</f>
        <v/>
      </c>
      <c r="L22" s="30" t="n"/>
      <c r="M22" s="30" t="n"/>
    </row>
    <row r="23" ht="18" customHeight="1">
      <c r="A23" s="40" t="n"/>
      <c r="B23" s="26" t="n"/>
      <c r="C23" s="26" t="n"/>
      <c r="D23" s="26" t="n"/>
      <c r="E23" s="41" t="n"/>
      <c r="F23" s="26" t="n"/>
      <c r="G23" s="26" t="n"/>
      <c r="H23" s="27" t="n"/>
      <c r="I23" s="27" t="n"/>
      <c r="J23" s="27" t="n"/>
      <c r="K23" s="42">
        <f>IFERROR(H23+I23+J23,"")</f>
        <v/>
      </c>
      <c r="L23" s="27" t="n"/>
      <c r="M23" s="27" t="n"/>
    </row>
    <row r="24" ht="18" customHeight="1">
      <c r="A24" s="43" t="n"/>
      <c r="B24" s="29" t="n"/>
      <c r="C24" s="29" t="n"/>
      <c r="D24" s="29" t="n"/>
      <c r="E24" s="44" t="n"/>
      <c r="F24" s="29" t="n"/>
      <c r="G24" s="29" t="n"/>
      <c r="H24" s="30" t="n"/>
      <c r="I24" s="30" t="n"/>
      <c r="J24" s="30" t="n"/>
      <c r="K24" s="45">
        <f>IFERROR(H24+I24+J24,"")</f>
        <v/>
      </c>
      <c r="L24" s="30" t="n"/>
      <c r="M24" s="30" t="n"/>
    </row>
  </sheetData>
  <mergeCells count="3">
    <mergeCell ref="A2:M2"/>
    <mergeCell ref="A1:M1"/>
    <mergeCell ref="A4:G4"/>
  </mergeCells>
  <dataValidations count="1">
    <dataValidation sqref="B5:B24" showDropDown="0" showInputMessage="0" showErrorMessage="0" allowBlank="1" type="list">
      <formula1>"Formation prédicateurs,CPPD (Formation pasteurs),Réunion pasteurs de district,Évangélisation de district,Séminaire inter-assemblées,École des prédicateurs,Mission terrain district,Réunion de comité,Autre"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55" customWidth="1" min="3" max="3"/>
  </cols>
  <sheetData>
    <row r="1" ht="30" customHeight="1">
      <c r="A1" s="46" t="inlineStr">
        <is>
          <t>👥  RESSOURCES HUMAINES — District (Snapshot fin de mois)</t>
        </is>
      </c>
    </row>
    <row r="2" ht="18" customHeight="1">
      <c r="A2" s="47" t="inlineStr">
        <is>
          <t>ℹ️  Effectifs cumulés de toutes les assemblées + cellules du district. Les totaux des membres/pasteurs/prédicateurs sont tirés de l'onglet SYNTHESE.</t>
        </is>
      </c>
    </row>
    <row r="3" ht="22" customHeight="1">
      <c r="A3" s="48" t="inlineStr">
        <is>
          <t xml:space="preserve">  ①  EFFECTIFS CUMULÉS DU DISTRICT (toutes assemblées + cellules)</t>
        </is>
      </c>
    </row>
    <row r="4" ht="20" customHeight="1">
      <c r="A4" s="49" t="inlineStr">
        <is>
          <t>Total membres actifs (fin du mois)</t>
        </is>
      </c>
      <c r="B4" s="45">
        <f>IFERROR('2_SYNTHESE_ASSEMBLEES'!E4,"")</f>
        <v/>
      </c>
      <c r="C4" s="13">
        <f> Onglet SYNTHESE, ligne TOTAUX, col. Membres Actifs</f>
        <v/>
      </c>
    </row>
    <row r="5" ht="20" customHeight="1">
      <c r="A5" s="50" t="inlineStr">
        <is>
          <t>Total ajoutés ce mois</t>
        </is>
      </c>
      <c r="B5" s="45">
        <f>IFERROR('2_SYNTHESE_ASSEMBLEES'!F4,"")</f>
        <v/>
      </c>
      <c r="C5" s="15">
        <f> Onglet SYNTHESE, ligne TOTAUX, col. Ajoutés</f>
        <v/>
      </c>
    </row>
    <row r="6" ht="20" customHeight="1">
      <c r="A6" s="49" t="inlineStr">
        <is>
          <t>Total personnes sauvées ce mois</t>
        </is>
      </c>
      <c r="B6" s="45">
        <f>IFERROR('2_SYNTHESE_ASSEMBLEES'!K4,"")</f>
        <v/>
      </c>
      <c r="C6" s="13">
        <f> Onglet SYNTHESE, ligne TOTAUX, col. Sauvés</f>
        <v/>
      </c>
    </row>
    <row r="7" ht="20" customHeight="1">
      <c r="A7" s="50" t="inlineStr">
        <is>
          <t>Total pasteurs (district + assemblées)</t>
        </is>
      </c>
      <c r="B7" s="51" t="n"/>
      <c r="C7" s="15" t="inlineStr">
        <is>
          <t>Nombre total de pasteurs actifs</t>
        </is>
      </c>
    </row>
    <row r="8" ht="20" customHeight="1">
      <c r="A8" s="49" t="inlineStr">
        <is>
          <t>Total prédicateurs accrédités</t>
        </is>
      </c>
      <c r="B8" s="51" t="n"/>
      <c r="C8" s="13" t="inlineStr">
        <is>
          <t>Toutes assemblées confondues</t>
        </is>
      </c>
    </row>
    <row r="9" ht="20" customHeight="1">
      <c r="A9" s="50" t="inlineStr">
        <is>
          <t>Prédicateurs en formation (école)</t>
        </is>
      </c>
      <c r="B9" s="51" t="n"/>
      <c r="C9" s="15" t="inlineStr">
        <is>
          <t>Inscrits à l'école des prédicateurs</t>
        </is>
      </c>
    </row>
    <row r="10" ht="20" customHeight="1">
      <c r="A10" s="49" t="inlineStr">
        <is>
          <t>Diacres / responsables GA (total)</t>
        </is>
      </c>
      <c r="B10" s="51" t="n"/>
      <c r="C10" s="13" t="inlineStr">
        <is>
          <t>Responsables de groupes d'action</t>
        </is>
      </c>
    </row>
    <row r="11" ht="20" customHeight="1">
      <c r="A11" s="50" t="inlineStr">
        <is>
          <t>Missionnaires affectés au district</t>
        </is>
      </c>
      <c r="B11" s="51" t="n"/>
      <c r="C11" s="15" t="inlineStr">
        <is>
          <t>Nationaux ou internationaux</t>
        </is>
      </c>
    </row>
    <row r="12" ht="22" customHeight="1">
      <c r="A12" s="52" t="inlineStr">
        <is>
          <t xml:space="preserve">  ②  STRUCTURE DU DISTRICT</t>
        </is>
      </c>
    </row>
    <row r="13" ht="20" customHeight="1">
      <c r="A13" s="50" t="inlineStr">
        <is>
          <t>Nombre d'assemblées actives</t>
        </is>
      </c>
      <c r="B13" s="51" t="n"/>
      <c r="C13" s="15" t="inlineStr">
        <is>
          <t>Ayant remis un rapport ce mois</t>
        </is>
      </c>
    </row>
    <row r="14" ht="20" customHeight="1">
      <c r="A14" s="49" t="inlineStr">
        <is>
          <t>Nombre de cellules actives</t>
        </is>
      </c>
      <c r="B14" s="51" t="n"/>
      <c r="C14" s="13" t="inlineStr"/>
    </row>
    <row r="15" ht="20" customHeight="1">
      <c r="A15" s="50" t="inlineStr">
        <is>
          <t>Nombre de groupes d'action (GA) total</t>
        </is>
      </c>
      <c r="B15" s="51" t="n"/>
      <c r="C15" s="15" t="inlineStr"/>
    </row>
    <row r="16" ht="22" customHeight="1">
      <c r="A16" s="53" t="inlineStr">
        <is>
          <t xml:space="preserve">  ③  MOUVEMENTS CE MOIS</t>
        </is>
      </c>
    </row>
    <row r="17" ht="20" customHeight="1">
      <c r="A17" s="50" t="inlineStr">
        <is>
          <t>Nouveaux prédicateurs accrédités ce mois</t>
        </is>
      </c>
      <c r="B17" s="51" t="n"/>
      <c r="C17" s="15" t="inlineStr"/>
    </row>
    <row r="18" ht="20" customHeight="1">
      <c r="A18" s="49" t="inlineStr">
        <is>
          <t>Prédicateurs diplômés de l'école ce mois</t>
        </is>
      </c>
      <c r="B18" s="51" t="n"/>
      <c r="C18" s="13" t="inlineStr"/>
    </row>
    <row r="19" ht="20" customHeight="1">
      <c r="A19" s="50" t="inlineStr">
        <is>
          <t>Prédicateurs utilisés en mission ce mois</t>
        </is>
      </c>
      <c r="B19" s="51" t="n"/>
      <c r="C19" s="15" t="inlineStr"/>
    </row>
    <row r="20" ht="20" customHeight="1">
      <c r="A20" s="49" t="inlineStr">
        <is>
          <t>Membres transférés entrants (toutes asb)</t>
        </is>
      </c>
      <c r="B20" s="51" t="n"/>
      <c r="C20" s="13" t="inlineStr"/>
    </row>
    <row r="21" ht="20" customHeight="1">
      <c r="A21" s="50" t="inlineStr">
        <is>
          <t>Membres transférés sortants (toutes asb)</t>
        </is>
      </c>
      <c r="B21" s="51" t="n"/>
      <c r="C21" s="15" t="inlineStr"/>
    </row>
    <row r="22" ht="20" customHeight="1">
      <c r="A22" s="49" t="inlineStr">
        <is>
          <t>Membres décédés ce mois (toutes asb)</t>
        </is>
      </c>
      <c r="B22" s="51" t="n"/>
      <c r="C22" s="13" t="inlineStr"/>
    </row>
  </sheetData>
  <mergeCells count="5">
    <mergeCell ref="A1:C1"/>
    <mergeCell ref="A2:C2"/>
    <mergeCell ref="A3:C3"/>
    <mergeCell ref="A12:C12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6914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50" customWidth="1" min="3" max="3"/>
  </cols>
  <sheetData>
    <row r="1" ht="28" customHeight="1">
      <c r="A1" s="54" t="inlineStr">
        <is>
          <t>💰  FINANCES — District (FCFA)  |  Mois : ___________  Année : ______</t>
        </is>
      </c>
    </row>
    <row r="2" ht="16" customHeight="1">
      <c r="A2" s="55" t="inlineStr">
        <is>
          <t>ℹ️  Toutes les valeurs sont en FCFA. Les recettes incluent les remontées des assemblées + dotations du National + autres recettes propres.</t>
        </is>
      </c>
    </row>
    <row r="3" ht="22" customHeight="1">
      <c r="A3" s="56" t="inlineStr">
        <is>
          <t xml:space="preserve">  ①  RECETTES</t>
        </is>
      </c>
    </row>
    <row r="4" ht="20" customHeight="1">
      <c r="A4" s="57" t="inlineStr">
        <is>
          <t>Total remontées des assemblées</t>
        </is>
      </c>
      <c r="B4" s="58">
        <f>IFERROR('2_SYNTHESE_ASSEMBLEES'!P4,"")</f>
        <v/>
      </c>
      <c r="C4" s="59">
        <f> Onglet SYNTHESE, ligne TOTAUX, col. Recettes</f>
        <v/>
      </c>
    </row>
    <row r="5" ht="20" customHeight="1">
      <c r="A5" s="50" t="inlineStr">
        <is>
          <t>Dotation reçue du National (FCFA)</t>
        </is>
      </c>
      <c r="B5" s="60" t="n"/>
      <c r="C5" s="15" t="inlineStr">
        <is>
          <t>Virement reçu du niveau national</t>
        </is>
      </c>
    </row>
    <row r="6" ht="20" customHeight="1">
      <c r="A6" s="49" t="inlineStr">
        <is>
          <t>Autres recettes district (FCFA)</t>
        </is>
      </c>
      <c r="B6" s="60" t="n"/>
      <c r="C6" s="13" t="inlineStr">
        <is>
          <t>Dons, partenariats, etc.</t>
        </is>
      </c>
    </row>
    <row r="7" ht="20" customHeight="1">
      <c r="A7" s="61" t="inlineStr">
        <is>
          <t>TOTAL RECETTES</t>
        </is>
      </c>
      <c r="B7" s="58">
        <f>IFERROR(B4+B5+B6,0)</f>
        <v/>
      </c>
      <c r="C7" s="59" t="inlineStr"/>
    </row>
    <row r="8" ht="22" customHeight="1">
      <c r="A8" s="62" t="inlineStr">
        <is>
          <t xml:space="preserve">  ②  DÉPENSES</t>
        </is>
      </c>
    </row>
    <row r="9" ht="20" customHeight="1">
      <c r="A9" s="57" t="inlineStr">
        <is>
          <t>Dépenses activités propres district</t>
        </is>
      </c>
      <c r="B9" s="58">
        <f>IFERROR(SUM('3_ACTIVITES_DISTRICT'!M5:M24),"")</f>
        <v/>
      </c>
      <c r="C9" s="59" t="inlineStr">
        <is>
          <t>Formations, CPPD, missions de district, QG</t>
        </is>
      </c>
    </row>
    <row r="10" ht="20" customHeight="1">
      <c r="A10" s="49" t="inlineStr">
        <is>
          <t>Dépenses fonctionnement bureau district</t>
        </is>
      </c>
      <c r="B10" s="60" t="n"/>
      <c r="C10" s="13" t="inlineStr">
        <is>
          <t>Loyer, frais bureau, communication</t>
        </is>
      </c>
    </row>
    <row r="11" ht="20" customHeight="1">
      <c r="A11" s="50" t="inlineStr">
        <is>
          <t>Dotations redistribuées aux assemblées</t>
        </is>
      </c>
      <c r="B11" s="60" t="n"/>
      <c r="C11" s="15" t="inlineStr">
        <is>
          <t>Aides versées aux assemblées</t>
        </is>
      </c>
    </row>
    <row r="12" ht="20" customHeight="1">
      <c r="A12" s="61" t="inlineStr">
        <is>
          <t>TOTAL DÉPENSES</t>
        </is>
      </c>
      <c r="B12" s="58">
        <f>IFERROR(B9+B10+B11,0)</f>
        <v/>
      </c>
      <c r="C12" s="59" t="inlineStr"/>
    </row>
    <row r="13" ht="22" customHeight="1">
      <c r="A13" s="63" t="inlineStr">
        <is>
          <t xml:space="preserve">  ③  BILAN</t>
        </is>
      </c>
    </row>
    <row r="14" ht="20" customHeight="1">
      <c r="A14" s="49" t="inlineStr">
        <is>
          <t>Remontée reversée au National</t>
        </is>
      </c>
      <c r="B14" s="60" t="n"/>
      <c r="C14" s="13" t="inlineStr">
        <is>
          <t>Montant transféré au niveau national</t>
        </is>
      </c>
    </row>
    <row r="15" ht="20" customHeight="1">
      <c r="A15" s="61" t="inlineStr">
        <is>
          <t>SOLDE DISTRICT (fin de mois)</t>
        </is>
      </c>
      <c r="B15" s="64">
        <f>IFERROR(B7-B12-B14,0)</f>
        <v/>
      </c>
      <c r="C15" s="59">
        <f> Total Recettes - Total Dépenses - Remontée National</f>
        <v/>
      </c>
    </row>
    <row r="16" ht="22" customHeight="1">
      <c r="A16" s="65" t="inlineStr">
        <is>
          <t xml:space="preserve">  ④  OBSERVATIONS FINANCES</t>
        </is>
      </c>
    </row>
    <row r="17" ht="22" customHeight="1">
      <c r="A17" s="66" t="inlineStr">
        <is>
          <t>(Saisir ici les observations financières du mois : difficultés, retards, décisions prises...)</t>
        </is>
      </c>
    </row>
    <row r="18" ht="22" customHeight="1"/>
    <row r="19" ht="22" customHeight="1"/>
  </sheetData>
  <mergeCells count="7">
    <mergeCell ref="A13:C13"/>
    <mergeCell ref="A1:C1"/>
    <mergeCell ref="A16:C16"/>
    <mergeCell ref="A8:C8"/>
    <mergeCell ref="A3:C3"/>
    <mergeCell ref="A17:C19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7770"/>
    <outlinePr summaryBelow="1" summaryRight="1"/>
    <pageSetUpPr/>
  </sheetPr>
  <dimension ref="A1:E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60" customWidth="1" min="3" max="3"/>
    <col width="14" customWidth="1" min="4" max="4"/>
    <col width="48" customWidth="1" min="5" max="5"/>
  </cols>
  <sheetData>
    <row r="1" ht="28" customHeight="1">
      <c r="A1" s="67" t="inlineStr">
        <is>
          <t>🏆  RÉUSSITES, DIFFICULTÉS &amp; PERSPECTIVES — District</t>
        </is>
      </c>
    </row>
    <row r="2" ht="16" customHeight="1">
      <c r="A2" s="68" t="inlineStr">
        <is>
          <t>ℹ️  Inclure les points remontés par les assemblées + les observations propres au district. Structurer par type et catégorie.</t>
        </is>
      </c>
    </row>
    <row r="3" ht="22" customHeight="1">
      <c r="A3" s="69" t="inlineStr">
        <is>
          <t>Type</t>
        </is>
      </c>
      <c r="B3" s="69" t="inlineStr">
        <is>
          <t>Catégorie</t>
        </is>
      </c>
      <c r="C3" s="69" t="inlineStr">
        <is>
          <t>Description détaillée</t>
        </is>
      </c>
      <c r="D3" s="69" t="inlineStr">
        <is>
          <t>Statut</t>
        </is>
      </c>
      <c r="E3" s="69" t="inlineStr">
        <is>
          <t>Actions / Suivi</t>
        </is>
      </c>
    </row>
    <row r="4" ht="22" customHeight="1">
      <c r="A4" s="70" t="inlineStr">
        <is>
          <t>Réussite</t>
        </is>
      </c>
      <c r="B4" s="70" t="inlineStr">
        <is>
          <t>Mission &amp; Évangélisation</t>
        </is>
      </c>
      <c r="C4" s="70" t="inlineStr">
        <is>
          <t>[EXEMPLE] École des prédicateurs : 15 diplômés ce mois</t>
        </is>
      </c>
      <c r="D4" s="70" t="inlineStr">
        <is>
          <t>Résolu</t>
        </is>
      </c>
      <c r="E4" s="70" t="inlineStr">
        <is>
          <t>Cérémonie de remise des diplômes organisée</t>
        </is>
      </c>
    </row>
    <row r="5" ht="22" customHeight="1">
      <c r="A5" s="70" t="inlineStr">
        <is>
          <t>Difficulté</t>
        </is>
      </c>
      <c r="B5" s="70" t="inlineStr">
        <is>
          <t>Ressources Humaines</t>
        </is>
      </c>
      <c r="C5" s="70" t="inlineStr">
        <is>
          <t>[EXEMPLE] Manque de prédicateurs pour couvrir toutes les assemblées</t>
        </is>
      </c>
      <c r="D5" s="70" t="inlineStr">
        <is>
          <t>En cours</t>
        </is>
      </c>
      <c r="E5" s="70" t="inlineStr">
        <is>
          <t>Recrutement en cours — 3 candidats identifiés</t>
        </is>
      </c>
    </row>
    <row r="6" ht="22" customHeight="1">
      <c r="A6" s="70" t="inlineStr">
        <is>
          <t>Perspective</t>
        </is>
      </c>
      <c r="B6" s="70" t="inlineStr">
        <is>
          <t>Formation &amp; Éducation</t>
        </is>
      </c>
      <c r="C6" s="70" t="inlineStr">
        <is>
          <t>[EXEMPLE] Lancement session 2 de l'école des prédicateurs en Août</t>
        </is>
      </c>
      <c r="D6" s="70" t="inlineStr">
        <is>
          <t>Nouveau</t>
        </is>
      </c>
      <c r="E6" s="70" t="inlineStr">
        <is>
          <t>Budget à prévoir, salle à confirmer</t>
        </is>
      </c>
    </row>
    <row r="7" ht="22" customHeight="1">
      <c r="A7" s="71" t="n"/>
      <c r="B7" s="71" t="n"/>
      <c r="C7" s="71" t="n"/>
      <c r="D7" s="71" t="n"/>
      <c r="E7" s="71" t="n"/>
    </row>
    <row r="8" ht="22" customHeight="1">
      <c r="A8" s="72" t="n"/>
      <c r="B8" s="72" t="n"/>
      <c r="C8" s="72" t="n"/>
      <c r="D8" s="72" t="n"/>
      <c r="E8" s="72" t="n"/>
    </row>
    <row r="9" ht="22" customHeight="1">
      <c r="A9" s="71" t="n"/>
      <c r="B9" s="71" t="n"/>
      <c r="C9" s="71" t="n"/>
      <c r="D9" s="71" t="n"/>
      <c r="E9" s="71" t="n"/>
    </row>
    <row r="10" ht="22" customHeight="1">
      <c r="A10" s="72" t="n"/>
      <c r="B10" s="72" t="n"/>
      <c r="C10" s="72" t="n"/>
      <c r="D10" s="72" t="n"/>
      <c r="E10" s="72" t="n"/>
    </row>
    <row r="11" ht="22" customHeight="1">
      <c r="A11" s="71" t="n"/>
      <c r="B11" s="71" t="n"/>
      <c r="C11" s="71" t="n"/>
      <c r="D11" s="71" t="n"/>
      <c r="E11" s="71" t="n"/>
    </row>
    <row r="12" ht="22" customHeight="1">
      <c r="A12" s="72" t="n"/>
      <c r="B12" s="72" t="n"/>
      <c r="C12" s="72" t="n"/>
      <c r="D12" s="72" t="n"/>
      <c r="E12" s="72" t="n"/>
    </row>
    <row r="13" ht="22" customHeight="1">
      <c r="A13" s="71" t="n"/>
      <c r="B13" s="71" t="n"/>
      <c r="C13" s="71" t="n"/>
      <c r="D13" s="71" t="n"/>
      <c r="E13" s="71" t="n"/>
    </row>
    <row r="14" ht="22" customHeight="1">
      <c r="A14" s="72" t="n"/>
      <c r="B14" s="72" t="n"/>
      <c r="C14" s="72" t="n"/>
      <c r="D14" s="72" t="n"/>
      <c r="E14" s="72" t="n"/>
    </row>
    <row r="15" ht="22" customHeight="1">
      <c r="A15" s="71" t="n"/>
      <c r="B15" s="71" t="n"/>
      <c r="C15" s="71" t="n"/>
      <c r="D15" s="71" t="n"/>
      <c r="E15" s="71" t="n"/>
    </row>
    <row r="16" ht="22" customHeight="1">
      <c r="A16" s="72" t="n"/>
      <c r="B16" s="72" t="n"/>
      <c r="C16" s="72" t="n"/>
      <c r="D16" s="72" t="n"/>
      <c r="E16" s="72" t="n"/>
    </row>
    <row r="17" ht="22" customHeight="1">
      <c r="A17" s="71" t="n"/>
      <c r="B17" s="71" t="n"/>
      <c r="C17" s="71" t="n"/>
      <c r="D17" s="71" t="n"/>
      <c r="E17" s="71" t="n"/>
    </row>
    <row r="18" ht="22" customHeight="1">
      <c r="A18" s="72" t="n"/>
      <c r="B18" s="72" t="n"/>
      <c r="C18" s="72" t="n"/>
      <c r="D18" s="72" t="n"/>
      <c r="E18" s="72" t="n"/>
    </row>
    <row r="19" ht="22" customHeight="1">
      <c r="A19" s="71" t="n"/>
      <c r="B19" s="71" t="n"/>
      <c r="C19" s="71" t="n"/>
      <c r="D19" s="71" t="n"/>
      <c r="E19" s="71" t="n"/>
    </row>
    <row r="20" ht="22" customHeight="1">
      <c r="A20" s="72" t="n"/>
      <c r="B20" s="72" t="n"/>
      <c r="C20" s="72" t="n"/>
      <c r="D20" s="72" t="n"/>
      <c r="E20" s="72" t="n"/>
    </row>
    <row r="21" ht="22" customHeight="1">
      <c r="A21" s="71" t="n"/>
      <c r="B21" s="71" t="n"/>
      <c r="C21" s="71" t="n"/>
      <c r="D21" s="71" t="n"/>
      <c r="E21" s="71" t="n"/>
    </row>
    <row r="22" ht="22" customHeight="1">
      <c r="A22" s="72" t="n"/>
      <c r="B22" s="72" t="n"/>
      <c r="C22" s="72" t="n"/>
      <c r="D22" s="72" t="n"/>
      <c r="E22" s="72" t="n"/>
    </row>
    <row r="23" ht="22" customHeight="1">
      <c r="A23" s="71" t="n"/>
      <c r="B23" s="71" t="n"/>
      <c r="C23" s="71" t="n"/>
      <c r="D23" s="71" t="n"/>
      <c r="E23" s="71" t="n"/>
    </row>
    <row r="24" ht="22" customHeight="1">
      <c r="A24" s="72" t="n"/>
      <c r="B24" s="72" t="n"/>
      <c r="C24" s="72" t="n"/>
      <c r="D24" s="72" t="n"/>
      <c r="E24" s="72" t="n"/>
    </row>
    <row r="25" ht="22" customHeight="1">
      <c r="A25" s="71" t="n"/>
      <c r="B25" s="71" t="n"/>
      <c r="C25" s="71" t="n"/>
      <c r="D25" s="71" t="n"/>
      <c r="E25" s="71" t="n"/>
    </row>
    <row r="26" ht="22" customHeight="1">
      <c r="A26" s="72" t="n"/>
      <c r="B26" s="72" t="n"/>
      <c r="C26" s="72" t="n"/>
      <c r="D26" s="72" t="n"/>
      <c r="E26" s="72" t="n"/>
    </row>
    <row r="27" ht="22" customHeight="1">
      <c r="A27" s="71" t="n"/>
      <c r="B27" s="71" t="n"/>
      <c r="C27" s="71" t="n"/>
      <c r="D27" s="71" t="n"/>
      <c r="E27" s="71" t="n"/>
    </row>
    <row r="28" ht="22" customHeight="1">
      <c r="A28" s="72" t="n"/>
      <c r="B28" s="72" t="n"/>
      <c r="C28" s="72" t="n"/>
      <c r="D28" s="72" t="n"/>
      <c r="E28" s="72" t="n"/>
    </row>
    <row r="29" ht="22" customHeight="1">
      <c r="A29" s="71" t="n"/>
      <c r="B29" s="71" t="n"/>
      <c r="C29" s="71" t="n"/>
      <c r="D29" s="71" t="n"/>
      <c r="E29" s="71" t="n"/>
    </row>
    <row r="30" ht="22" customHeight="1">
      <c r="A30" s="72" t="n"/>
      <c r="B30" s="72" t="n"/>
      <c r="C30" s="72" t="n"/>
      <c r="D30" s="72" t="n"/>
      <c r="E30" s="72" t="n"/>
    </row>
    <row r="31" ht="22" customHeight="1">
      <c r="A31" s="71" t="n"/>
      <c r="B31" s="71" t="n"/>
      <c r="C31" s="71" t="n"/>
      <c r="D31" s="71" t="n"/>
      <c r="E31" s="71" t="n"/>
    </row>
    <row r="32" ht="22" customHeight="1">
      <c r="A32" s="72" t="n"/>
      <c r="B32" s="72" t="n"/>
      <c r="C32" s="72" t="n"/>
      <c r="D32" s="72" t="n"/>
      <c r="E32" s="72" t="n"/>
    </row>
    <row r="33" ht="22" customHeight="1">
      <c r="A33" s="71" t="n"/>
      <c r="B33" s="71" t="n"/>
      <c r="C33" s="71" t="n"/>
      <c r="D33" s="71" t="n"/>
      <c r="E33" s="71" t="n"/>
    </row>
  </sheetData>
  <mergeCells count="2">
    <mergeCell ref="A2:E2"/>
    <mergeCell ref="A1:E1"/>
  </mergeCells>
  <dataValidations count="3">
    <dataValidation sqref="A4:A33" showDropDown="0" showInputMessage="0" showErrorMessage="0" allowBlank="1" type="list">
      <formula1>"Réussite,Difficulté,Besoin,Perspective,Prière"</formula1>
    </dataValidation>
    <dataValidation sqref="B4:B33" showDropDown="0" showInputMessage="0" showErrorMessage="0" allowBlank="1" type="list">
      <formula1>"Mission &amp; Évangélisation,Formation &amp; Éducation,Finances,Ressources Humaines,Infrastructure,Communication,Spirituel,Autre"</formula1>
    </dataValidation>
    <dataValidation sqref="D4:D33" showDropDown="0" showInputMessage="0" showErrorMessage="0" allowBlank="1" type="list">
      <formula1>"Nouveau,En cours,Résolu,Reporté"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2026-07-02T11:53:34Z</dcterms:created>
  <dcterms:modified xmlns:dcterms="http://purl.org/dc/terms/" xmlns:xsi="http://www.w3.org/2001/XMLSchema-instance" xsi:type="dcterms:W3CDTF">2026-07-02T11:53:34Z</dcterms:modified>
</cp:coreProperties>
</file>