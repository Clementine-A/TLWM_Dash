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IDENTIFICATION" sheetId="1" state="visible" r:id="rId1"/>
    <sheet xmlns:r="http://schemas.openxmlformats.org/officeDocument/2006/relationships" name="2_SYNTHESE_DISTRICTS" sheetId="2" state="visible" r:id="rId2"/>
    <sheet xmlns:r="http://schemas.openxmlformats.org/officeDocument/2006/relationships" name="3_ACTIVITES_NATIONALES" sheetId="3" state="visible" r:id="rId3"/>
    <sheet xmlns:r="http://schemas.openxmlformats.org/officeDocument/2006/relationships" name="4_INDICATEURS_CONSOLIDES" sheetId="4" state="visible" r:id="rId4"/>
    <sheet xmlns:r="http://schemas.openxmlformats.org/officeDocument/2006/relationships" name="5_FINANCES" sheetId="5" state="visible" r:id="rId5"/>
    <sheet xmlns:r="http://schemas.openxmlformats.org/officeDocument/2006/relationships" name="6_REUSSITES_DIFFICUL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78716C"/>
      <sz val="9"/>
    </font>
    <font>
      <name val="Calibri"/>
      <b val="1"/>
      <color rgb="00FFFFFF"/>
      <sz val="11"/>
    </font>
    <font>
      <name val="Calibri"/>
      <color rgb="001E293B"/>
      <sz val="12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E293B"/>
      <sz val="10"/>
    </font>
    <font>
      <name val="Calibri"/>
      <b val="1"/>
      <sz val="13"/>
    </font>
    <font>
      <name val="Calibri"/>
      <b val="1"/>
      <sz val="12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sz val="11"/>
    </font>
    <font>
      <name val="Calibri"/>
      <b val="1"/>
      <color rgb="00FFFFFF"/>
      <sz val="12"/>
    </font>
    <font>
      <name val="Calibri"/>
      <sz val="12"/>
    </font>
  </fonts>
  <fills count="17">
    <fill>
      <patternFill/>
    </fill>
    <fill>
      <patternFill patternType="gray125"/>
    </fill>
    <fill>
      <patternFill patternType="solid">
        <fgColor rgb="00CA8A04"/>
      </patternFill>
    </fill>
    <fill>
      <patternFill patternType="solid">
        <fgColor rgb="00FFFBEB"/>
      </patternFill>
    </fill>
    <fill>
      <patternFill patternType="solid">
        <fgColor rgb="00A16207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1E3A5F"/>
      </patternFill>
    </fill>
    <fill>
      <patternFill patternType="solid">
        <fgColor rgb="00FEF9C3"/>
      </patternFill>
    </fill>
    <fill>
      <patternFill patternType="solid">
        <fgColor rgb="000891B2"/>
      </patternFill>
    </fill>
    <fill>
      <patternFill patternType="solid">
        <fgColor rgb="00E0F2FE"/>
      </patternFill>
    </fill>
    <fill>
      <patternFill patternType="solid">
        <fgColor rgb="000E7490"/>
      </patternFill>
    </fill>
    <fill>
      <patternFill patternType="solid">
        <fgColor rgb="00059669"/>
      </patternFill>
    </fill>
    <fill>
      <patternFill patternType="solid">
        <fgColor rgb="00047857"/>
      </patternFill>
    </fill>
    <fill>
      <patternFill patternType="solid">
        <fgColor rgb="00ECFDF5"/>
      </patternFill>
    </fill>
    <fill>
      <patternFill patternType="solid">
        <fgColor rgb="00D1FAE5"/>
      </patternFill>
    </fill>
    <fill>
      <patternFill patternType="solid">
        <fgColor rgb="00D97706"/>
      </patternFill>
    </fill>
  </fills>
  <borders count="7">
    <border>
      <left/>
      <right/>
      <top/>
      <bottom/>
      <diagonal/>
    </border>
    <border>
      <left style="medium">
        <color rgb="0064748B"/>
      </left>
      <right style="medium">
        <color rgb="0064748B"/>
      </right>
      <top style="medium">
        <color rgb="0064748B"/>
      </top>
      <bottom style="medium">
        <color rgb="0064748B"/>
      </bottom>
    </border>
    <border>
      <left/>
      <right/>
      <top style="medium">
        <color rgb="0064748B"/>
      </top>
      <bottom/>
      <diagonal/>
    </border>
    <border>
      <left/>
      <right style="medium">
        <color rgb="0064748B"/>
      </right>
      <top style="medium">
        <color rgb="0064748B"/>
      </top>
      <bottom/>
      <diagonal/>
    </border>
    <border>
      <left/>
      <right style="medium">
        <color rgb="0064748B"/>
      </right>
      <top style="medium">
        <color rgb="0064748B"/>
      </top>
      <bottom style="medium">
        <color rgb="0064748B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medium">
        <color rgb="0064748B"/>
      </top>
      <bottom style="medium">
        <color rgb="0064748B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0" applyAlignment="1" pivotButton="0" quotePrefix="0" xfId="0">
      <alignment horizontal="left" vertical="center" wrapText="1"/>
    </xf>
    <xf numFmtId="0" fontId="3" fillId="2" borderId="5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4" borderId="5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5" borderId="5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7" fillId="6" borderId="5" applyAlignment="1" pivotButton="0" quotePrefix="0" xfId="0">
      <alignment horizontal="center" vertical="center" wrapText="1"/>
    </xf>
    <xf numFmtId="0" fontId="0" fillId="6" borderId="5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164" fontId="9" fillId="8" borderId="1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left" vertical="center" wrapText="1"/>
    </xf>
    <xf numFmtId="0" fontId="10" fillId="6" borderId="5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12" fillId="9" borderId="5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center" vertical="center" wrapText="1"/>
    </xf>
    <xf numFmtId="0" fontId="12" fillId="11" borderId="5" applyAlignment="1" pivotButton="0" quotePrefix="0" xfId="0">
      <alignment horizontal="left" vertical="center" wrapText="1"/>
    </xf>
    <xf numFmtId="0" fontId="14" fillId="7" borderId="5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12" fillId="13" borderId="5" applyAlignment="1" pivotButton="0" quotePrefix="0" xfId="0">
      <alignment horizontal="left" vertical="center" wrapText="1"/>
    </xf>
    <xf numFmtId="3" fontId="15" fillId="14" borderId="1" applyAlignment="1" pivotButton="0" quotePrefix="0" xfId="0">
      <alignment horizontal="center" vertical="center" wrapText="1"/>
    </xf>
    <xf numFmtId="0" fontId="12" fillId="12" borderId="5" applyAlignment="1" pivotButton="0" quotePrefix="0" xfId="0">
      <alignment horizontal="left" vertical="center" wrapText="1"/>
    </xf>
    <xf numFmtId="3" fontId="9" fillId="15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6" customWidth="1" min="2" max="2"/>
  </cols>
  <sheetData>
    <row r="1" ht="52" customHeight="1">
      <c r="A1" s="1" t="inlineStr">
        <is>
          <t>🌍  RAPPORT MENSUEL NATIONAL — TLWM TOGO
DAMF / DNMF</t>
        </is>
      </c>
      <c r="B1" s="2" t="n"/>
    </row>
    <row r="2" ht="18" customHeight="1">
      <c r="A2" s="3" t="inlineStr">
        <is>
          <t>ℹ️  Compila des 11 rapports de district + activités propres nationales. Remplir après réception de tous les rapports.</t>
        </is>
      </c>
    </row>
    <row r="3" ht="24" customHeight="1">
      <c r="A3" s="4" t="inlineStr">
        <is>
          <t>Année</t>
        </is>
      </c>
      <c r="B3" s="5" t="n"/>
    </row>
    <row r="4" ht="24" customHeight="1">
      <c r="A4" s="6" t="inlineStr">
        <is>
          <t>Mois</t>
        </is>
      </c>
      <c r="B4" s="5" t="n"/>
    </row>
    <row r="5" ht="24" customHeight="1">
      <c r="A5" s="4" t="inlineStr">
        <is>
          <t>Responsable (DAMF / DNMF)</t>
        </is>
      </c>
      <c r="B5" s="5" t="n"/>
    </row>
    <row r="6" ht="24" customHeight="1">
      <c r="A6" s="6" t="inlineStr">
        <is>
          <t>Date de compilation</t>
        </is>
      </c>
      <c r="B6" s="5" t="n"/>
    </row>
    <row r="7" ht="24" customHeight="1">
      <c r="A7" s="4" t="inlineStr">
        <is>
          <t>Rapports districts reçus (nb/11)</t>
        </is>
      </c>
      <c r="B7" s="5" t="n"/>
    </row>
    <row r="8" ht="24" customHeight="1">
      <c r="A8" s="6" t="inlineStr">
        <is>
          <t>Statut du rapport national</t>
        </is>
      </c>
      <c r="B8" s="5" t="n"/>
    </row>
  </sheetData>
  <mergeCells count="2">
    <mergeCell ref="A2:B2"/>
    <mergeCell ref="A1:B1"/>
  </mergeCells>
  <dataValidations count="3">
    <dataValidation sqref="B3" showDropDown="0" showInputMessage="0" showErrorMessage="0" allowBlank="1" type="list">
      <formula1>"2024,2025,2026,2027"</formula1>
    </dataValidation>
    <dataValidation sqref="B4" showDropDown="0" showInputMessage="0" showErrorMessage="0" allowBlank="1" type="list">
      <formula1>"Janvier,Février,Mars,Avril,Mai,Juin,Juillet,Août,Septembre,Octobre,Novembre,Décembre"</formula1>
    </dataValidation>
    <dataValidation sqref="B8" showDropDown="0" showInputMessage="0" showErrorMessage="0" allowBlank="1" type="list">
      <formula1>"Complet,Partiel,Provisoire"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3" customWidth="1" min="4" max="4"/>
    <col width="9" customWidth="1" min="5" max="5"/>
    <col width="11" customWidth="1" min="6" max="6"/>
    <col width="9" customWidth="1" min="7" max="7"/>
    <col width="9" customWidth="1" min="8" max="8"/>
    <col width="10" customWidth="1" min="9" max="9"/>
    <col width="10" customWidth="1" min="10" max="10"/>
    <col width="10" customWidth="1" min="11" max="11"/>
    <col width="11" customWidth="1" min="12" max="12"/>
    <col width="13" customWidth="1" min="13" max="13"/>
    <col width="9" customWidth="1" min="14" max="14"/>
    <col width="10" customWidth="1" min="15" max="15"/>
    <col width="9" customWidth="1" min="16" max="16"/>
    <col width="11" customWidth="1" min="17" max="17"/>
    <col width="14" customWidth="1" min="18" max="18"/>
  </cols>
  <sheetData>
    <row r="1" ht="38" customHeight="1">
      <c r="A1" s="7" t="inlineStr">
        <is>
          <t>📊  SYNTHÈSE DES 11 DISTRICTS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2" t="n"/>
    </row>
    <row r="2" ht="18" customHeight="1">
      <c r="A2" s="3" t="inlineStr">
        <is>
          <t>ℹ️  Une ligne par district. Issues des rapports mensuels de district.</t>
        </is>
      </c>
    </row>
    <row r="3" ht="36" customHeight="1">
      <c r="A3" s="9" t="inlineStr">
        <is>
          <t>Code</t>
        </is>
      </c>
      <c r="B3" s="9" t="inlineStr">
        <is>
          <t>Nom District</t>
        </is>
      </c>
      <c r="C3" s="9" t="inlineStr">
        <is>
          <t>Rapport
Reçu</t>
        </is>
      </c>
      <c r="D3" s="9" t="inlineStr">
        <is>
          <t>Membres
Actifs</t>
        </is>
      </c>
      <c r="E3" s="9" t="inlineStr">
        <is>
          <t>Ajoutés</t>
        </is>
      </c>
      <c r="F3" s="9" t="inlineStr">
        <is>
          <t>Assemblées</t>
        </is>
      </c>
      <c r="G3" s="9" t="inlineStr">
        <is>
          <t>Cellules</t>
        </is>
      </c>
      <c r="H3" s="9" t="inlineStr">
        <is>
          <t>Pasteurs</t>
        </is>
      </c>
      <c r="I3" s="9" t="inlineStr">
        <is>
          <t>Prédicat.</t>
        </is>
      </c>
      <c r="J3" s="9" t="inlineStr">
        <is>
          <t>Sémin.
Asb</t>
        </is>
      </c>
      <c r="K3" s="9" t="inlineStr">
        <is>
          <t>Sémin.
Hors</t>
        </is>
      </c>
      <c r="L3" s="9" t="inlineStr">
        <is>
          <t>Sémin.
District</t>
        </is>
      </c>
      <c r="M3" s="9" t="inlineStr">
        <is>
          <t>Assist.
Total</t>
        </is>
      </c>
      <c r="N3" s="9" t="inlineStr">
        <is>
          <t>Sauvés</t>
        </is>
      </c>
      <c r="O3" s="9" t="inlineStr">
        <is>
          <t>Témoig.</t>
        </is>
      </c>
      <c r="P3" s="9" t="inlineStr">
        <is>
          <t>Invités</t>
        </is>
      </c>
      <c r="Q3" s="9" t="inlineStr">
        <is>
          <t>Ajoutés
Église</t>
        </is>
      </c>
      <c r="R3" s="9" t="inlineStr">
        <is>
          <t>Recettes
(FCFA)</t>
        </is>
      </c>
    </row>
    <row r="4" ht="22" customHeight="1">
      <c r="A4" s="10" t="inlineStr">
        <is>
          <t>D01</t>
        </is>
      </c>
      <c r="B4" s="10" t="inlineStr">
        <is>
          <t>Lomé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</row>
    <row r="5" ht="22" customHeight="1">
      <c r="A5" s="12" t="inlineStr">
        <is>
          <t>D02</t>
        </is>
      </c>
      <c r="B5" s="12" t="inlineStr">
        <is>
          <t>Kpalimé</t>
        </is>
      </c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 ht="22" customHeight="1">
      <c r="A6" s="10" t="inlineStr">
        <is>
          <t>D03</t>
        </is>
      </c>
      <c r="B6" s="10" t="inlineStr">
        <is>
          <t>Atakpamé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</row>
    <row r="7" ht="22" customHeight="1">
      <c r="A7" s="12" t="inlineStr">
        <is>
          <t>D04</t>
        </is>
      </c>
      <c r="B7" s="12" t="inlineStr">
        <is>
          <t>Sokodé</t>
        </is>
      </c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</row>
    <row r="8" ht="22" customHeight="1">
      <c r="A8" s="10" t="inlineStr">
        <is>
          <t>D05</t>
        </is>
      </c>
      <c r="B8" s="10" t="inlineStr">
        <is>
          <t>Kara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</row>
    <row r="9" ht="22" customHeight="1">
      <c r="A9" s="12" t="inlineStr">
        <is>
          <t>D06</t>
        </is>
      </c>
      <c r="B9" s="12" t="inlineStr">
        <is>
          <t>Dapaong</t>
        </is>
      </c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</row>
    <row r="10" ht="22" customHeight="1">
      <c r="A10" s="10" t="inlineStr">
        <is>
          <t>D07</t>
        </is>
      </c>
      <c r="B10" s="10" t="inlineStr">
        <is>
          <t>Notsé</t>
        </is>
      </c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</row>
    <row r="11" ht="22" customHeight="1">
      <c r="A11" s="12" t="inlineStr">
        <is>
          <t>D08</t>
        </is>
      </c>
      <c r="B11" s="12" t="inlineStr">
        <is>
          <t>Tsévié</t>
        </is>
      </c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</row>
    <row r="12" ht="22" customHeight="1">
      <c r="A12" s="10" t="inlineStr">
        <is>
          <t>D09</t>
        </is>
      </c>
      <c r="B12" s="10" t="inlineStr">
        <is>
          <t>Aného</t>
        </is>
      </c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</row>
    <row r="13" ht="22" customHeight="1">
      <c r="A13" s="12" t="inlineStr">
        <is>
          <t>D10</t>
        </is>
      </c>
      <c r="B13" s="12" t="inlineStr">
        <is>
          <t>Vogan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</row>
    <row r="14" ht="22" customHeight="1">
      <c r="A14" s="10" t="inlineStr">
        <is>
          <t>D11</t>
        </is>
      </c>
      <c r="B14" s="10" t="inlineStr">
        <is>
          <t>Bassar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</row>
    <row r="15" ht="30" customHeight="1">
      <c r="A15" s="14" t="inlineStr">
        <is>
          <t>TOTAUX NATIONAL (Σ Districts)</t>
        </is>
      </c>
      <c r="D15" s="15">
        <f>SUM(D4:D14)</f>
        <v/>
      </c>
      <c r="E15" s="15">
        <f>SUM(E4:E14)</f>
        <v/>
      </c>
      <c r="F15" s="15">
        <f>SUM(F4:F14)</f>
        <v/>
      </c>
      <c r="G15" s="15">
        <f>SUM(G4:G14)</f>
        <v/>
      </c>
      <c r="H15" s="15">
        <f>SUM(H4:H14)</f>
        <v/>
      </c>
      <c r="I15" s="15">
        <f>SUM(I4:I14)</f>
        <v/>
      </c>
      <c r="J15" s="15">
        <f>SUM(J4:J14)</f>
        <v/>
      </c>
      <c r="K15" s="15">
        <f>SUM(K4:K14)</f>
        <v/>
      </c>
      <c r="L15" s="15">
        <f>SUM(L4:L14)</f>
        <v/>
      </c>
      <c r="M15" s="15">
        <f>SUM(M4:M14)</f>
        <v/>
      </c>
      <c r="N15" s="15">
        <f>SUM(N4:N14)</f>
        <v/>
      </c>
      <c r="O15" s="15">
        <f>SUM(O4:O14)</f>
        <v/>
      </c>
      <c r="P15" s="15">
        <f>SUM(P4:P14)</f>
        <v/>
      </c>
      <c r="Q15" s="15">
        <f>SUM(Q4:Q14)</f>
        <v/>
      </c>
      <c r="R15" s="15">
        <f>SUM(R4:R14)</f>
        <v/>
      </c>
    </row>
    <row r="16" ht="24" customHeight="1">
      <c r="A16" s="4" t="inlineStr">
        <is>
          <t>Taux de Conversion National (Ajoutés / Sauvés × 100)</t>
        </is>
      </c>
      <c r="M16" s="16">
        <f>IFERROR(Q15/N15*100,"—")</f>
        <v/>
      </c>
      <c r="N16" s="8" t="n"/>
      <c r="O16" s="8" t="n"/>
      <c r="P16" s="8" t="n"/>
      <c r="Q16" s="8" t="n"/>
      <c r="R16" s="2" t="n"/>
    </row>
  </sheetData>
  <mergeCells count="5">
    <mergeCell ref="A16:L16"/>
    <mergeCell ref="A2:R2"/>
    <mergeCell ref="A1:R1"/>
    <mergeCell ref="A15:C15"/>
    <mergeCell ref="M16:R16"/>
  </mergeCells>
  <dataValidations count="11">
    <dataValidation sqref="C4" showDropDown="0" showInputMessage="0" showErrorMessage="0" allowBlank="1" type="list">
      <formula1>"Oui,Non,Partiel"</formula1>
    </dataValidation>
    <dataValidation sqref="C5" showDropDown="0" showInputMessage="0" showErrorMessage="0" allowBlank="1" type="list">
      <formula1>"Oui,Non,Partiel"</formula1>
    </dataValidation>
    <dataValidation sqref="C6" showDropDown="0" showInputMessage="0" showErrorMessage="0" allowBlank="1" type="list">
      <formula1>"Oui,Non,Partiel"</formula1>
    </dataValidation>
    <dataValidation sqref="C7" showDropDown="0" showInputMessage="0" showErrorMessage="0" allowBlank="1" type="list">
      <formula1>"Oui,Non,Partiel"</formula1>
    </dataValidation>
    <dataValidation sqref="C8" showDropDown="0" showInputMessage="0" showErrorMessage="0" allowBlank="1" type="list">
      <formula1>"Oui,Non,Partiel"</formula1>
    </dataValidation>
    <dataValidation sqref="C9" showDropDown="0" showInputMessage="0" showErrorMessage="0" allowBlank="1" type="list">
      <formula1>"Oui,Non,Partiel"</formula1>
    </dataValidation>
    <dataValidation sqref="C10" showDropDown="0" showInputMessage="0" showErrorMessage="0" allowBlank="1" type="list">
      <formula1>"Oui,Non,Partiel"</formula1>
    </dataValidation>
    <dataValidation sqref="C11" showDropDown="0" showInputMessage="0" showErrorMessage="0" allowBlank="1" type="list">
      <formula1>"Oui,Non,Partiel"</formula1>
    </dataValidation>
    <dataValidation sqref="C12" showDropDown="0" showInputMessage="0" showErrorMessage="0" allowBlank="1" type="list">
      <formula1>"Oui,Non,Partiel"</formula1>
    </dataValidation>
    <dataValidation sqref="C13" showDropDown="0" showInputMessage="0" showErrorMessage="0" allowBlank="1" type="list">
      <formula1>"Oui,Non,Partiel"</formula1>
    </dataValidation>
    <dataValidation sqref="C14" showDropDown="0" showInputMessage="0" showErrorMessage="0" allowBlank="1" type="list">
      <formula1>"Oui,Non,Partiel"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8" customWidth="1" min="3" max="3"/>
    <col width="20" customWidth="1" min="4" max="4"/>
    <col width="9" customWidth="1" min="5" max="5"/>
    <col width="26" customWidth="1" min="6" max="6"/>
    <col width="30" customWidth="1" min="7" max="7"/>
    <col width="20" customWidth="1" min="8" max="8"/>
    <col width="13" customWidth="1" min="9" max="9"/>
    <col width="9" customWidth="1" min="10" max="10"/>
    <col width="13" customWidth="1" min="11" max="11"/>
    <col width="14" customWidth="1" min="12" max="12"/>
    <col width="30" customWidth="1" min="13" max="13"/>
  </cols>
  <sheetData>
    <row r="1" ht="38" customHeight="1">
      <c r="A1" s="7" t="inlineStr">
        <is>
          <t>🎯  ACTIVITÉS PROPRES NATIONALES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2" t="n"/>
    </row>
    <row r="2" ht="18" customHeight="1">
      <c r="A2" s="3" t="inlineStr">
        <is>
          <t>ℹ️  Événements nationaux (non liés à un district/assemblée spécifique).</t>
        </is>
      </c>
    </row>
    <row r="3" ht="32" customHeight="1">
      <c r="A3" s="9" t="inlineStr">
        <is>
          <t>Date</t>
        </is>
      </c>
      <c r="B3" s="9" t="inlineStr">
        <is>
          <t>Type d'activité</t>
        </is>
      </c>
      <c r="C3" s="9" t="inlineStr">
        <is>
          <t>Nom de l'activité</t>
        </is>
      </c>
      <c r="D3" s="9" t="inlineStr">
        <is>
          <t>Lieu</t>
        </is>
      </c>
      <c r="E3" s="9" t="inlineStr">
        <is>
          <t>Nb
Jours</t>
        </is>
      </c>
      <c r="F3" s="9" t="inlineStr">
        <is>
          <t>Responsable</t>
        </is>
      </c>
      <c r="G3" s="9" t="inlineStr">
        <is>
          <t>Thème / Module</t>
        </is>
      </c>
      <c r="H3" s="9" t="inlineStr">
        <is>
          <t>Districts
Participants</t>
        </is>
      </c>
      <c r="I3" s="9" t="inlineStr">
        <is>
          <t>Assist.
Totale</t>
        </is>
      </c>
      <c r="J3" s="9" t="inlineStr">
        <is>
          <t>Sauvés</t>
        </is>
      </c>
      <c r="K3" s="9" t="inlineStr">
        <is>
          <t>Budget
(FCFA)</t>
        </is>
      </c>
      <c r="L3" s="9" t="inlineStr">
        <is>
          <t>Dépenses
(FCFA)</t>
        </is>
      </c>
      <c r="M3" s="9" t="inlineStr">
        <is>
          <t>Observations</t>
        </is>
      </c>
    </row>
    <row r="4" ht="20" customHeight="1">
      <c r="A4" s="17" t="n"/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</row>
    <row r="5" ht="20" customHeight="1">
      <c r="A5" s="18" t="n"/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</row>
    <row r="6" ht="20" customHeight="1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</row>
    <row r="7" ht="20" customHeight="1">
      <c r="A7" s="18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</row>
    <row r="8" ht="20" customHeight="1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</row>
    <row r="9" ht="20" customHeight="1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</row>
    <row r="10" ht="20" customHeight="1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</row>
    <row r="11" ht="20" customHeight="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</row>
    <row r="12" ht="20" customHeight="1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</row>
    <row r="13" ht="20" customHeight="1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</row>
    <row r="14" ht="20" customHeight="1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</row>
    <row r="15" ht="20" customHeight="1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</row>
    <row r="16" ht="20" customHeight="1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</row>
    <row r="17" ht="20" customHeight="1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</row>
    <row r="18" ht="20" customHeight="1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</row>
    <row r="19" ht="20" customHeight="1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</row>
    <row r="20" ht="20" customHeight="1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</row>
    <row r="21" ht="20" customHeight="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</row>
    <row r="22" ht="20" customHeight="1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</row>
    <row r="23" ht="20" customHeight="1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</row>
  </sheetData>
  <mergeCells count="2">
    <mergeCell ref="A2:M2"/>
    <mergeCell ref="A1:M1"/>
  </mergeCells>
  <dataValidations count="20">
    <dataValidation sqref="B4" showDropDown="0" showInputMessage="0" showErrorMessage="0" allowBlank="1" type="list">
      <formula1>"Formation Nationale,École Nat. Prédicateurs,Culte National,Conférence Nationale,Mission Internationale,QG National,Recyclage Pasteurs/Prédicateurs,Séminaire National,Retraite Nationale,Autre"</formula1>
    </dataValidation>
    <dataValidation sqref="B5" showDropDown="0" showInputMessage="0" showErrorMessage="0" allowBlank="1" type="list">
      <formula1>"Formation Nationale,École Nat. Prédicateurs,Culte National,Conférence Nationale,Mission Internationale,QG National,Recyclage Pasteurs/Prédicateurs,Séminaire National,Retraite Nationale,Autre"</formula1>
    </dataValidation>
    <dataValidation sqref="B6" showDropDown="0" showInputMessage="0" showErrorMessage="0" allowBlank="1" type="list">
      <formula1>"Formation Nationale,École Nat. Prédicateurs,Culte National,Conférence Nationale,Mission Internationale,QG National,Recyclage Pasteurs/Prédicateurs,Séminaire National,Retraite Nationale,Autre"</formula1>
    </dataValidation>
    <dataValidation sqref="B7" showDropDown="0" showInputMessage="0" showErrorMessage="0" allowBlank="1" type="list">
      <formula1>"Formation Nationale,École Nat. Prédicateurs,Culte National,Conférence Nationale,Mission Internationale,QG National,Recyclage Pasteurs/Prédicateurs,Séminaire National,Retraite Nationale,Autre"</formula1>
    </dataValidation>
    <dataValidation sqref="B8" showDropDown="0" showInputMessage="0" showErrorMessage="0" allowBlank="1" type="list">
      <formula1>"Formation Nationale,École Nat. Prédicateurs,Culte National,Conférence Nationale,Mission Internationale,QG National,Recyclage Pasteurs/Prédicateurs,Séminaire National,Retraite Nationale,Autre"</formula1>
    </dataValidation>
    <dataValidation sqref="B9" showDropDown="0" showInputMessage="0" showErrorMessage="0" allowBlank="1" type="list">
      <formula1>"Formation Nationale,École Nat. Prédicateurs,Culte National,Conférence Nationale,Mission Internationale,QG National,Recyclage Pasteurs/Prédicateurs,Séminaire National,Retraite Nationale,Autre"</formula1>
    </dataValidation>
    <dataValidation sqref="B10" showDropDown="0" showInputMessage="0" showErrorMessage="0" allowBlank="1" type="list">
      <formula1>"Formation Nationale,École Nat. Prédicateurs,Culte National,Conférence Nationale,Mission Internationale,QG National,Recyclage Pasteurs/Prédicateurs,Séminaire National,Retraite Nationale,Autre"</formula1>
    </dataValidation>
    <dataValidation sqref="B11" showDropDown="0" showInputMessage="0" showErrorMessage="0" allowBlank="1" type="list">
      <formula1>"Formation Nationale,École Nat. Prédicateurs,Culte National,Conférence Nationale,Mission Internationale,QG National,Recyclage Pasteurs/Prédicateurs,Séminaire National,Retraite Nationale,Autre"</formula1>
    </dataValidation>
    <dataValidation sqref="B12" showDropDown="0" showInputMessage="0" showErrorMessage="0" allowBlank="1" type="list">
      <formula1>"Formation Nationale,École Nat. Prédicateurs,Culte National,Conférence Nationale,Mission Internationale,QG National,Recyclage Pasteurs/Prédicateurs,Séminaire National,Retraite Nationale,Autre"</formula1>
    </dataValidation>
    <dataValidation sqref="B13" showDropDown="0" showInputMessage="0" showErrorMessage="0" allowBlank="1" type="list">
      <formula1>"Formation Nationale,École Nat. Prédicateurs,Culte National,Conférence Nationale,Mission Internationale,QG National,Recyclage Pasteurs/Prédicateurs,Séminaire National,Retraite Nationale,Autre"</formula1>
    </dataValidation>
    <dataValidation sqref="B14" showDropDown="0" showInputMessage="0" showErrorMessage="0" allowBlank="1" type="list">
      <formula1>"Formation Nationale,École Nat. Prédicateurs,Culte National,Conférence Nationale,Mission Internationale,QG National,Recyclage Pasteurs/Prédicateurs,Séminaire National,Retraite Nationale,Autre"</formula1>
    </dataValidation>
    <dataValidation sqref="B15" showDropDown="0" showInputMessage="0" showErrorMessage="0" allowBlank="1" type="list">
      <formula1>"Formation Nationale,École Nat. Prédicateurs,Culte National,Conférence Nationale,Mission Internationale,QG National,Recyclage Pasteurs/Prédicateurs,Séminaire National,Retraite Nationale,Autre"</formula1>
    </dataValidation>
    <dataValidation sqref="B16" showDropDown="0" showInputMessage="0" showErrorMessage="0" allowBlank="1" type="list">
      <formula1>"Formation Nationale,École Nat. Prédicateurs,Culte National,Conférence Nationale,Mission Internationale,QG National,Recyclage Pasteurs/Prédicateurs,Séminaire National,Retraite Nationale,Autre"</formula1>
    </dataValidation>
    <dataValidation sqref="B17" showDropDown="0" showInputMessage="0" showErrorMessage="0" allowBlank="1" type="list">
      <formula1>"Formation Nationale,École Nat. Prédicateurs,Culte National,Conférence Nationale,Mission Internationale,QG National,Recyclage Pasteurs/Prédicateurs,Séminaire National,Retraite Nationale,Autre"</formula1>
    </dataValidation>
    <dataValidation sqref="B18" showDropDown="0" showInputMessage="0" showErrorMessage="0" allowBlank="1" type="list">
      <formula1>"Formation Nationale,École Nat. Prédicateurs,Culte National,Conférence Nationale,Mission Internationale,QG National,Recyclage Pasteurs/Prédicateurs,Séminaire National,Retraite Nationale,Autre"</formula1>
    </dataValidation>
    <dataValidation sqref="B19" showDropDown="0" showInputMessage="0" showErrorMessage="0" allowBlank="1" type="list">
      <formula1>"Formation Nationale,École Nat. Prédicateurs,Culte National,Conférence Nationale,Mission Internationale,QG National,Recyclage Pasteurs/Prédicateurs,Séminaire National,Retraite Nationale,Autre"</formula1>
    </dataValidation>
    <dataValidation sqref="B20" showDropDown="0" showInputMessage="0" showErrorMessage="0" allowBlank="1" type="list">
      <formula1>"Formation Nationale,École Nat. Prédicateurs,Culte National,Conférence Nationale,Mission Internationale,QG National,Recyclage Pasteurs/Prédicateurs,Séminaire National,Retraite Nationale,Autre"</formula1>
    </dataValidation>
    <dataValidation sqref="B21" showDropDown="0" showInputMessage="0" showErrorMessage="0" allowBlank="1" type="list">
      <formula1>"Formation Nationale,École Nat. Prédicateurs,Culte National,Conférence Nationale,Mission Internationale,QG National,Recyclage Pasteurs/Prédicateurs,Séminaire National,Retraite Nationale,Autre"</formula1>
    </dataValidation>
    <dataValidation sqref="B22" showDropDown="0" showInputMessage="0" showErrorMessage="0" allowBlank="1" type="list">
      <formula1>"Formation Nationale,École Nat. Prédicateurs,Culte National,Conférence Nationale,Mission Internationale,QG National,Recyclage Pasteurs/Prédicateurs,Séminaire National,Retraite Nationale,Autre"</formula1>
    </dataValidation>
    <dataValidation sqref="B23" showDropDown="0" showInputMessage="0" showErrorMessage="0" allowBlank="1" type="list">
      <formula1>"Formation Nationale,École Nat. Prédicateurs,Culte National,Conférence Nationale,Mission Internationale,QG National,Recyclage Pasteurs/Prédicateurs,Séminaire National,Retraite Nationale,Autre"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32" customWidth="1" min="3" max="3"/>
  </cols>
  <sheetData>
    <row r="1" ht="44" customHeight="1">
      <c r="A1" s="19" t="inlineStr">
        <is>
          <t>📈  INDICATEURS CONSOLIDÉS — National</t>
        </is>
      </c>
      <c r="B1" s="8" t="n"/>
      <c r="C1" s="2" t="n"/>
    </row>
    <row r="2" ht="18" customHeight="1">
      <c r="A2" s="3" t="inlineStr">
        <is>
          <t>ℹ️  Agréger : Totaux Σ Districts (feuille 2, ligne 15) + Activités nationales propres (feuille 3).</t>
        </is>
      </c>
    </row>
    <row r="3" ht="22" customHeight="1">
      <c r="A3" s="20" t="inlineStr">
        <is>
          <t xml:space="preserve">  ▸  SÉMINAIRES &amp; ACTIVITÉS</t>
        </is>
      </c>
      <c r="B3" s="8" t="n"/>
      <c r="C3" s="2" t="n"/>
    </row>
    <row r="4" ht="22" customHeight="1">
      <c r="A4" s="21" t="inlineStr">
        <is>
          <t>Séminaires en assemblées (Σ districts)</t>
        </is>
      </c>
      <c r="B4" s="22" t="n"/>
    </row>
    <row r="5" ht="22" customHeight="1">
      <c r="A5" s="23" t="inlineStr">
        <is>
          <t>Séminaires hors assemblées (Σ districts)</t>
        </is>
      </c>
      <c r="B5" s="22" t="n"/>
    </row>
    <row r="6" ht="22" customHeight="1">
      <c r="A6" s="21" t="inlineStr">
        <is>
          <t>Activités propres district (Σ)</t>
        </is>
      </c>
      <c r="B6" s="22" t="n"/>
    </row>
    <row r="7" ht="22" customHeight="1">
      <c r="A7" s="23" t="inlineStr">
        <is>
          <t>Activités propres nationales</t>
        </is>
      </c>
      <c r="B7" s="22" t="n"/>
    </row>
    <row r="8" ht="26" customHeight="1">
      <c r="A8" s="24" t="inlineStr">
        <is>
          <t>TOTAL GÉNÉRAL ACTIVITÉS</t>
        </is>
      </c>
      <c r="B8" s="25" t="n"/>
    </row>
    <row r="9" ht="22" customHeight="1">
      <c r="A9" s="20" t="inlineStr">
        <is>
          <t xml:space="preserve">  ▸  ASSISTANCE &amp; ÉVANGÉLISATION</t>
        </is>
      </c>
      <c r="B9" s="8" t="n"/>
      <c r="C9" s="2" t="n"/>
    </row>
    <row r="10" ht="22" customHeight="1">
      <c r="A10" s="21" t="inlineStr">
        <is>
          <t>Assistance totale (tous niveaux)</t>
        </is>
      </c>
      <c r="B10" s="22" t="n"/>
    </row>
    <row r="11" ht="22" customHeight="1">
      <c r="A11" s="23" t="inlineStr">
        <is>
          <t>Invités (total)</t>
        </is>
      </c>
      <c r="B11" s="22" t="n"/>
    </row>
    <row r="12" ht="22" customHeight="1">
      <c r="A12" s="21" t="inlineStr">
        <is>
          <t>Sauvés (total)</t>
        </is>
      </c>
      <c r="B12" s="22" t="n"/>
    </row>
    <row r="13" ht="22" customHeight="1">
      <c r="A13" s="23" t="inlineStr">
        <is>
          <t>Témoignages (total)</t>
        </is>
      </c>
      <c r="B13" s="22" t="n"/>
    </row>
    <row r="14" ht="22" customHeight="1">
      <c r="A14" s="21" t="inlineStr">
        <is>
          <t>Ajoutés à l'Église (total)</t>
        </is>
      </c>
      <c r="B14" s="22" t="n"/>
    </row>
    <row r="15" ht="26" customHeight="1">
      <c r="A15" s="24" t="inlineStr">
        <is>
          <t>Taux de conversion (%)</t>
        </is>
      </c>
      <c r="B15" s="16">
        <f>IFERROR(B17/B16*100,"—")</f>
        <v/>
      </c>
    </row>
    <row r="16" ht="22" customHeight="1">
      <c r="A16" s="20" t="inlineStr">
        <is>
          <t xml:space="preserve">  ▸  RESSOURCES HUMAINES</t>
        </is>
      </c>
      <c r="B16" s="8" t="n"/>
      <c r="C16" s="2" t="n"/>
    </row>
    <row r="17" ht="22" customHeight="1">
      <c r="A17" s="23" t="inlineStr">
        <is>
          <t>Total membres actifs national</t>
        </is>
      </c>
      <c r="B17" s="22" t="n"/>
    </row>
    <row r="18" ht="22" customHeight="1">
      <c r="A18" s="21" t="inlineStr">
        <is>
          <t>Total pasteurs</t>
        </is>
      </c>
      <c r="B18" s="22" t="n"/>
    </row>
    <row r="19" ht="22" customHeight="1">
      <c r="A19" s="23" t="inlineStr">
        <is>
          <t>Total prédicateurs</t>
        </is>
      </c>
      <c r="B19" s="22" t="n"/>
    </row>
    <row r="20" ht="22" customHeight="1">
      <c r="A20" s="21" t="inlineStr">
        <is>
          <t>Élèves inscrits (école nat.)</t>
        </is>
      </c>
      <c r="B20" s="22" t="n"/>
    </row>
    <row r="21" ht="22" customHeight="1">
      <c r="A21" s="23" t="inlineStr">
        <is>
          <t>Élèves actifs ce mois</t>
        </is>
      </c>
      <c r="B21" s="22" t="n"/>
    </row>
    <row r="22" ht="22" customHeight="1">
      <c r="A22" s="21" t="inlineStr">
        <is>
          <t>Missionnaires nationaux</t>
        </is>
      </c>
      <c r="B22" s="22" t="n"/>
    </row>
    <row r="23" ht="22" customHeight="1">
      <c r="A23" s="23" t="inlineStr">
        <is>
          <t>Missionnaires internationaux</t>
        </is>
      </c>
      <c r="B23" s="22" t="n"/>
    </row>
    <row r="24" ht="22" customHeight="1">
      <c r="A24" s="21" t="inlineStr">
        <is>
          <t>Total assemblées</t>
        </is>
      </c>
      <c r="B24" s="22" t="n"/>
    </row>
    <row r="25" ht="22" customHeight="1">
      <c r="A25" s="23" t="inlineStr">
        <is>
          <t>Total cellules</t>
        </is>
      </c>
      <c r="B25" s="22" t="n"/>
    </row>
    <row r="26" ht="22" customHeight="1">
      <c r="A26" s="21" t="inlineStr">
        <is>
          <t>Total districts actifs</t>
        </is>
      </c>
      <c r="B26" s="22" t="n"/>
    </row>
    <row r="27" ht="22" customHeight="1">
      <c r="A27" s="23" t="inlineStr">
        <is>
          <t>Prédicateurs utilisés en mission ce mois</t>
        </is>
      </c>
      <c r="B27" s="22" t="n"/>
    </row>
  </sheetData>
  <mergeCells count="5">
    <mergeCell ref="A1:C1"/>
    <mergeCell ref="A16:C16"/>
    <mergeCell ref="A9:C9"/>
    <mergeCell ref="A3:C3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30" customWidth="1" min="3" max="3"/>
  </cols>
  <sheetData>
    <row r="1" ht="38" customHeight="1">
      <c r="A1" s="26" t="inlineStr">
        <is>
          <t>💰  FINANCES NATIONALES (FCFA)</t>
        </is>
      </c>
      <c r="B1" s="8" t="n"/>
      <c r="C1" s="2" t="n"/>
    </row>
    <row r="2" ht="22" customHeight="1">
      <c r="A2" s="27" t="inlineStr">
        <is>
          <t xml:space="preserve">  ▸  RECETTES</t>
        </is>
      </c>
      <c r="B2" s="8" t="n"/>
      <c r="C2" s="2" t="n"/>
    </row>
    <row r="3" ht="22" customHeight="1">
      <c r="A3" s="28" t="inlineStr">
        <is>
          <t>Total remontées des districts</t>
        </is>
      </c>
      <c r="B3" s="29" t="n"/>
    </row>
    <row r="4" ht="22" customHeight="1">
      <c r="A4" s="30" t="inlineStr">
        <is>
          <t>Dotation internationale (partenaires)</t>
        </is>
      </c>
      <c r="B4" s="29" t="n"/>
    </row>
    <row r="5" ht="22" customHeight="1">
      <c r="A5" s="28" t="inlineStr">
        <is>
          <t>Autres recettes nationales</t>
        </is>
      </c>
      <c r="B5" s="29" t="n"/>
    </row>
    <row r="6" ht="26" customHeight="1">
      <c r="A6" s="24" t="inlineStr">
        <is>
          <t>TOTAL RECETTES</t>
        </is>
      </c>
      <c r="B6" s="31">
        <f>SUM(B3:B5)</f>
        <v/>
      </c>
    </row>
    <row r="7" ht="22" customHeight="1">
      <c r="A7" s="27" t="inlineStr">
        <is>
          <t xml:space="preserve">  ▸  DÉPENSES</t>
        </is>
      </c>
      <c r="B7" s="8" t="n"/>
      <c r="C7" s="2" t="n"/>
    </row>
    <row r="8" ht="22" customHeight="1">
      <c r="A8" s="30" t="inlineStr">
        <is>
          <t>Activités nationales (école, formations, cultes)</t>
        </is>
      </c>
      <c r="B8" s="29" t="n"/>
    </row>
    <row r="9" ht="22" customHeight="1">
      <c r="A9" s="28" t="inlineStr">
        <is>
          <t>Fonctionnement bureau national</t>
        </is>
      </c>
      <c r="B9" s="29" t="n"/>
    </row>
    <row r="10" ht="22" customHeight="1">
      <c r="A10" s="30" t="inlineStr">
        <is>
          <t>Dotations envoyées aux districts</t>
        </is>
      </c>
      <c r="B10" s="29" t="n"/>
    </row>
    <row r="11" ht="22" customHeight="1">
      <c r="A11" s="28" t="inlineStr">
        <is>
          <t>Missions et déplacements nationaux</t>
        </is>
      </c>
      <c r="B11" s="29" t="n"/>
    </row>
    <row r="12" ht="26" customHeight="1">
      <c r="A12" s="24" t="inlineStr">
        <is>
          <t>TOTAL DÉPENSES</t>
        </is>
      </c>
      <c r="B12" s="31">
        <f>SUM(B8:B11)</f>
        <v/>
      </c>
    </row>
    <row r="13" ht="22" customHeight="1">
      <c r="A13" s="27" t="inlineStr">
        <is>
          <t xml:space="preserve">  ▸  BILAN</t>
        </is>
      </c>
      <c r="B13" s="8" t="n"/>
      <c r="C13" s="2" t="n"/>
    </row>
    <row r="14" ht="26" customHeight="1">
      <c r="A14" s="24" t="inlineStr">
        <is>
          <t>SOLDE NATIONAL (Recettes - Dépenses)</t>
        </is>
      </c>
      <c r="B14" s="31">
        <f>B6-B12</f>
        <v/>
      </c>
    </row>
    <row r="15" ht="22" customHeight="1">
      <c r="A15" s="28" t="inlineStr">
        <is>
          <t>Observations</t>
        </is>
      </c>
      <c r="B15" s="29" t="n"/>
    </row>
  </sheetData>
  <mergeCells count="4">
    <mergeCell ref="A1:C1"/>
    <mergeCell ref="A7:C7"/>
    <mergeCell ref="A13:C13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55" customWidth="1" min="4" max="4"/>
    <col width="18" customWidth="1" min="5" max="5"/>
    <col width="45" customWidth="1" min="6" max="6"/>
  </cols>
  <sheetData>
    <row r="1" ht="38" customHeight="1">
      <c r="A1" s="32" t="inlineStr">
        <is>
          <t>📝  RÉUSSITES, DIFFICULTÉS &amp; PERSPECTIVES — National</t>
        </is>
      </c>
      <c r="B1" s="8" t="n"/>
      <c r="C1" s="8" t="n"/>
      <c r="D1" s="8" t="n"/>
      <c r="E1" s="8" t="n"/>
      <c r="F1" s="2" t="n"/>
    </row>
    <row r="2" ht="18" customHeight="1">
      <c r="A2" s="3" t="inlineStr">
        <is>
          <t>ℹ️  Inclure les points des districts + observations nationales. Prioriser par urgence.</t>
        </is>
      </c>
    </row>
    <row r="3" ht="28" customHeight="1">
      <c r="A3" s="33" t="inlineStr">
        <is>
          <t>Type</t>
        </is>
      </c>
      <c r="B3" s="33" t="inlineStr">
        <is>
          <t>Catégorie</t>
        </is>
      </c>
      <c r="C3" s="33" t="inlineStr">
        <is>
          <t>District
Concerné</t>
        </is>
      </c>
      <c r="D3" s="33" t="inlineStr">
        <is>
          <t>Description détaillée</t>
        </is>
      </c>
      <c r="E3" s="33" t="inlineStr">
        <is>
          <t>Statut</t>
        </is>
      </c>
      <c r="F3" s="33" t="inlineStr">
        <is>
          <t>Actions / Décision</t>
        </is>
      </c>
    </row>
    <row r="4" ht="20" customHeight="1">
      <c r="A4" s="17" t="n"/>
      <c r="B4" s="17" t="n"/>
      <c r="C4" s="17" t="n"/>
      <c r="D4" s="17" t="n"/>
      <c r="E4" s="17" t="n"/>
      <c r="F4" s="17" t="n"/>
    </row>
    <row r="5" ht="20" customHeight="1">
      <c r="A5" s="18" t="n"/>
      <c r="B5" s="18" t="n"/>
      <c r="C5" s="18" t="n"/>
      <c r="D5" s="18" t="n"/>
      <c r="E5" s="18" t="n"/>
      <c r="F5" s="18" t="n"/>
    </row>
    <row r="6" ht="20" customHeight="1">
      <c r="A6" s="17" t="n"/>
      <c r="B6" s="17" t="n"/>
      <c r="C6" s="17" t="n"/>
      <c r="D6" s="17" t="n"/>
      <c r="E6" s="17" t="n"/>
      <c r="F6" s="17" t="n"/>
    </row>
    <row r="7" ht="20" customHeight="1">
      <c r="A7" s="18" t="n"/>
      <c r="B7" s="18" t="n"/>
      <c r="C7" s="18" t="n"/>
      <c r="D7" s="18" t="n"/>
      <c r="E7" s="18" t="n"/>
      <c r="F7" s="18" t="n"/>
    </row>
    <row r="8" ht="20" customHeight="1">
      <c r="A8" s="17" t="n"/>
      <c r="B8" s="17" t="n"/>
      <c r="C8" s="17" t="n"/>
      <c r="D8" s="17" t="n"/>
      <c r="E8" s="17" t="n"/>
      <c r="F8" s="17" t="n"/>
    </row>
    <row r="9" ht="20" customHeight="1">
      <c r="A9" s="18" t="n"/>
      <c r="B9" s="18" t="n"/>
      <c r="C9" s="18" t="n"/>
      <c r="D9" s="18" t="n"/>
      <c r="E9" s="18" t="n"/>
      <c r="F9" s="18" t="n"/>
    </row>
    <row r="10" ht="20" customHeight="1">
      <c r="A10" s="17" t="n"/>
      <c r="B10" s="17" t="n"/>
      <c r="C10" s="17" t="n"/>
      <c r="D10" s="17" t="n"/>
      <c r="E10" s="17" t="n"/>
      <c r="F10" s="17" t="n"/>
    </row>
    <row r="11" ht="20" customHeight="1">
      <c r="A11" s="18" t="n"/>
      <c r="B11" s="18" t="n"/>
      <c r="C11" s="18" t="n"/>
      <c r="D11" s="18" t="n"/>
      <c r="E11" s="18" t="n"/>
      <c r="F11" s="18" t="n"/>
    </row>
    <row r="12" ht="20" customHeight="1">
      <c r="A12" s="17" t="n"/>
      <c r="B12" s="17" t="n"/>
      <c r="C12" s="17" t="n"/>
      <c r="D12" s="17" t="n"/>
      <c r="E12" s="17" t="n"/>
      <c r="F12" s="17" t="n"/>
    </row>
    <row r="13" ht="20" customHeight="1">
      <c r="A13" s="18" t="n"/>
      <c r="B13" s="18" t="n"/>
      <c r="C13" s="18" t="n"/>
      <c r="D13" s="18" t="n"/>
      <c r="E13" s="18" t="n"/>
      <c r="F13" s="18" t="n"/>
    </row>
    <row r="14" ht="20" customHeight="1">
      <c r="A14" s="17" t="n"/>
      <c r="B14" s="17" t="n"/>
      <c r="C14" s="17" t="n"/>
      <c r="D14" s="17" t="n"/>
      <c r="E14" s="17" t="n"/>
      <c r="F14" s="17" t="n"/>
    </row>
    <row r="15" ht="20" customHeight="1">
      <c r="A15" s="18" t="n"/>
      <c r="B15" s="18" t="n"/>
      <c r="C15" s="18" t="n"/>
      <c r="D15" s="18" t="n"/>
      <c r="E15" s="18" t="n"/>
      <c r="F15" s="18" t="n"/>
    </row>
    <row r="16" ht="20" customHeight="1">
      <c r="A16" s="17" t="n"/>
      <c r="B16" s="17" t="n"/>
      <c r="C16" s="17" t="n"/>
      <c r="D16" s="17" t="n"/>
      <c r="E16" s="17" t="n"/>
      <c r="F16" s="17" t="n"/>
    </row>
    <row r="17" ht="20" customHeight="1">
      <c r="A17" s="18" t="n"/>
      <c r="B17" s="18" t="n"/>
      <c r="C17" s="18" t="n"/>
      <c r="D17" s="18" t="n"/>
      <c r="E17" s="18" t="n"/>
      <c r="F17" s="18" t="n"/>
    </row>
    <row r="18" ht="20" customHeight="1">
      <c r="A18" s="17" t="n"/>
      <c r="B18" s="17" t="n"/>
      <c r="C18" s="17" t="n"/>
      <c r="D18" s="17" t="n"/>
      <c r="E18" s="17" t="n"/>
      <c r="F18" s="17" t="n"/>
    </row>
    <row r="19" ht="20" customHeight="1">
      <c r="A19" s="18" t="n"/>
      <c r="B19" s="18" t="n"/>
      <c r="C19" s="18" t="n"/>
      <c r="D19" s="18" t="n"/>
      <c r="E19" s="18" t="n"/>
      <c r="F19" s="18" t="n"/>
    </row>
    <row r="20" ht="20" customHeight="1">
      <c r="A20" s="17" t="n"/>
      <c r="B20" s="17" t="n"/>
      <c r="C20" s="17" t="n"/>
      <c r="D20" s="17" t="n"/>
      <c r="E20" s="17" t="n"/>
      <c r="F20" s="17" t="n"/>
    </row>
    <row r="21" ht="20" customHeight="1">
      <c r="A21" s="18" t="n"/>
      <c r="B21" s="18" t="n"/>
      <c r="C21" s="18" t="n"/>
      <c r="D21" s="18" t="n"/>
      <c r="E21" s="18" t="n"/>
      <c r="F21" s="18" t="n"/>
    </row>
    <row r="22" ht="20" customHeight="1">
      <c r="A22" s="17" t="n"/>
      <c r="B22" s="17" t="n"/>
      <c r="C22" s="17" t="n"/>
      <c r="D22" s="17" t="n"/>
      <c r="E22" s="17" t="n"/>
      <c r="F22" s="17" t="n"/>
    </row>
    <row r="23" ht="20" customHeight="1">
      <c r="A23" s="18" t="n"/>
      <c r="B23" s="18" t="n"/>
      <c r="C23" s="18" t="n"/>
      <c r="D23" s="18" t="n"/>
      <c r="E23" s="18" t="n"/>
      <c r="F23" s="18" t="n"/>
    </row>
    <row r="24" ht="20" customHeight="1">
      <c r="A24" s="17" t="n"/>
      <c r="B24" s="17" t="n"/>
      <c r="C24" s="17" t="n"/>
      <c r="D24" s="17" t="n"/>
      <c r="E24" s="17" t="n"/>
      <c r="F24" s="17" t="n"/>
    </row>
    <row r="25" ht="20" customHeight="1">
      <c r="A25" s="18" t="n"/>
      <c r="B25" s="18" t="n"/>
      <c r="C25" s="18" t="n"/>
      <c r="D25" s="18" t="n"/>
      <c r="E25" s="18" t="n"/>
      <c r="F25" s="18" t="n"/>
    </row>
    <row r="26" ht="20" customHeight="1">
      <c r="A26" s="17" t="n"/>
      <c r="B26" s="17" t="n"/>
      <c r="C26" s="17" t="n"/>
      <c r="D26" s="17" t="n"/>
      <c r="E26" s="17" t="n"/>
      <c r="F26" s="17" t="n"/>
    </row>
    <row r="27" ht="20" customHeight="1">
      <c r="A27" s="18" t="n"/>
      <c r="B27" s="18" t="n"/>
      <c r="C27" s="18" t="n"/>
      <c r="D27" s="18" t="n"/>
      <c r="E27" s="18" t="n"/>
      <c r="F27" s="18" t="n"/>
    </row>
  </sheetData>
  <mergeCells count="2">
    <mergeCell ref="A2:F2"/>
    <mergeCell ref="A1:F1"/>
  </mergeCells>
  <dataValidations count="96">
    <dataValidation sqref="A4" showDropDown="0" showInputMessage="0" showErrorMessage="0" allowBlank="1" type="list">
      <formula1>"Réussite,Difficulté,Perspective,Besoin,Prière,Alerte"</formula1>
    </dataValidation>
    <dataValidation sqref="B4" showDropDown="0" showInputMessage="0" showErrorMessage="0" allowBlank="1" type="list">
      <formula1>"Mission,Formation,Finance,Infrastructure,Personnel,Spirituel,Organisationnel,Autre"</formula1>
    </dataValidation>
    <dataValidation sqref="C4" showDropDown="0" showInputMessage="0" showErrorMessage="0" allowBlank="1" type="list">
      <formula1>"Tous,Lomé,Kpalimé,Atakpamé,Sokodé,Kara,Dapaong,Notsé,Tsévié,Aného,Vogan,Bassar"</formula1>
    </dataValidation>
    <dataValidation sqref="E4" showDropDown="0" showInputMessage="0" showErrorMessage="0" allowBlank="1" type="list">
      <formula1>"Résolu,En cours,Non résolu,Nouveau,En attente de décision"</formula1>
    </dataValidation>
    <dataValidation sqref="A5" showDropDown="0" showInputMessage="0" showErrorMessage="0" allowBlank="1" type="list">
      <formula1>"Réussite,Difficulté,Perspective,Besoin,Prière,Alerte"</formula1>
    </dataValidation>
    <dataValidation sqref="B5" showDropDown="0" showInputMessage="0" showErrorMessage="0" allowBlank="1" type="list">
      <formula1>"Mission,Formation,Finance,Infrastructure,Personnel,Spirituel,Organisationnel,Autre"</formula1>
    </dataValidation>
    <dataValidation sqref="C5" showDropDown="0" showInputMessage="0" showErrorMessage="0" allowBlank="1" type="list">
      <formula1>"Tous,Lomé,Kpalimé,Atakpamé,Sokodé,Kara,Dapaong,Notsé,Tsévié,Aného,Vogan,Bassar"</formula1>
    </dataValidation>
    <dataValidation sqref="E5" showDropDown="0" showInputMessage="0" showErrorMessage="0" allowBlank="1" type="list">
      <formula1>"Résolu,En cours,Non résolu,Nouveau,En attente de décision"</formula1>
    </dataValidation>
    <dataValidation sqref="A6" showDropDown="0" showInputMessage="0" showErrorMessage="0" allowBlank="1" type="list">
      <formula1>"Réussite,Difficulté,Perspective,Besoin,Prière,Alerte"</formula1>
    </dataValidation>
    <dataValidation sqref="B6" showDropDown="0" showInputMessage="0" showErrorMessage="0" allowBlank="1" type="list">
      <formula1>"Mission,Formation,Finance,Infrastructure,Personnel,Spirituel,Organisationnel,Autre"</formula1>
    </dataValidation>
    <dataValidation sqref="C6" showDropDown="0" showInputMessage="0" showErrorMessage="0" allowBlank="1" type="list">
      <formula1>"Tous,Lomé,Kpalimé,Atakpamé,Sokodé,Kara,Dapaong,Notsé,Tsévié,Aného,Vogan,Bassar"</formula1>
    </dataValidation>
    <dataValidation sqref="E6" showDropDown="0" showInputMessage="0" showErrorMessage="0" allowBlank="1" type="list">
      <formula1>"Résolu,En cours,Non résolu,Nouveau,En attente de décision"</formula1>
    </dataValidation>
    <dataValidation sqref="A7" showDropDown="0" showInputMessage="0" showErrorMessage="0" allowBlank="1" type="list">
      <formula1>"Réussite,Difficulté,Perspective,Besoin,Prière,Alerte"</formula1>
    </dataValidation>
    <dataValidation sqref="B7" showDropDown="0" showInputMessage="0" showErrorMessage="0" allowBlank="1" type="list">
      <formula1>"Mission,Formation,Finance,Infrastructure,Personnel,Spirituel,Organisationnel,Autre"</formula1>
    </dataValidation>
    <dataValidation sqref="C7" showDropDown="0" showInputMessage="0" showErrorMessage="0" allowBlank="1" type="list">
      <formula1>"Tous,Lomé,Kpalimé,Atakpamé,Sokodé,Kara,Dapaong,Notsé,Tsévié,Aného,Vogan,Bassar"</formula1>
    </dataValidation>
    <dataValidation sqref="E7" showDropDown="0" showInputMessage="0" showErrorMessage="0" allowBlank="1" type="list">
      <formula1>"Résolu,En cours,Non résolu,Nouveau,En attente de décision"</formula1>
    </dataValidation>
    <dataValidation sqref="A8" showDropDown="0" showInputMessage="0" showErrorMessage="0" allowBlank="1" type="list">
      <formula1>"Réussite,Difficulté,Perspective,Besoin,Prière,Alerte"</formula1>
    </dataValidation>
    <dataValidation sqref="B8" showDropDown="0" showInputMessage="0" showErrorMessage="0" allowBlank="1" type="list">
      <formula1>"Mission,Formation,Finance,Infrastructure,Personnel,Spirituel,Organisationnel,Autre"</formula1>
    </dataValidation>
    <dataValidation sqref="C8" showDropDown="0" showInputMessage="0" showErrorMessage="0" allowBlank="1" type="list">
      <formula1>"Tous,Lomé,Kpalimé,Atakpamé,Sokodé,Kara,Dapaong,Notsé,Tsévié,Aného,Vogan,Bassar"</formula1>
    </dataValidation>
    <dataValidation sqref="E8" showDropDown="0" showInputMessage="0" showErrorMessage="0" allowBlank="1" type="list">
      <formula1>"Résolu,En cours,Non résolu,Nouveau,En attente de décision"</formula1>
    </dataValidation>
    <dataValidation sqref="A9" showDropDown="0" showInputMessage="0" showErrorMessage="0" allowBlank="1" type="list">
      <formula1>"Réussite,Difficulté,Perspective,Besoin,Prière,Alerte"</formula1>
    </dataValidation>
    <dataValidation sqref="B9" showDropDown="0" showInputMessage="0" showErrorMessage="0" allowBlank="1" type="list">
      <formula1>"Mission,Formation,Finance,Infrastructure,Personnel,Spirituel,Organisationnel,Autre"</formula1>
    </dataValidation>
    <dataValidation sqref="C9" showDropDown="0" showInputMessage="0" showErrorMessage="0" allowBlank="1" type="list">
      <formula1>"Tous,Lomé,Kpalimé,Atakpamé,Sokodé,Kara,Dapaong,Notsé,Tsévié,Aného,Vogan,Bassar"</formula1>
    </dataValidation>
    <dataValidation sqref="E9" showDropDown="0" showInputMessage="0" showErrorMessage="0" allowBlank="1" type="list">
      <formula1>"Résolu,En cours,Non résolu,Nouveau,En attente de décision"</formula1>
    </dataValidation>
    <dataValidation sqref="A10" showDropDown="0" showInputMessage="0" showErrorMessage="0" allowBlank="1" type="list">
      <formula1>"Réussite,Difficulté,Perspective,Besoin,Prière,Alerte"</formula1>
    </dataValidation>
    <dataValidation sqref="B10" showDropDown="0" showInputMessage="0" showErrorMessage="0" allowBlank="1" type="list">
      <formula1>"Mission,Formation,Finance,Infrastructure,Personnel,Spirituel,Organisationnel,Autre"</formula1>
    </dataValidation>
    <dataValidation sqref="C10" showDropDown="0" showInputMessage="0" showErrorMessage="0" allowBlank="1" type="list">
      <formula1>"Tous,Lomé,Kpalimé,Atakpamé,Sokodé,Kara,Dapaong,Notsé,Tsévié,Aného,Vogan,Bassar"</formula1>
    </dataValidation>
    <dataValidation sqref="E10" showDropDown="0" showInputMessage="0" showErrorMessage="0" allowBlank="1" type="list">
      <formula1>"Résolu,En cours,Non résolu,Nouveau,En attente de décision"</formula1>
    </dataValidation>
    <dataValidation sqref="A11" showDropDown="0" showInputMessage="0" showErrorMessage="0" allowBlank="1" type="list">
      <formula1>"Réussite,Difficulté,Perspective,Besoin,Prière,Alerte"</formula1>
    </dataValidation>
    <dataValidation sqref="B11" showDropDown="0" showInputMessage="0" showErrorMessage="0" allowBlank="1" type="list">
      <formula1>"Mission,Formation,Finance,Infrastructure,Personnel,Spirituel,Organisationnel,Autre"</formula1>
    </dataValidation>
    <dataValidation sqref="C11" showDropDown="0" showInputMessage="0" showErrorMessage="0" allowBlank="1" type="list">
      <formula1>"Tous,Lomé,Kpalimé,Atakpamé,Sokodé,Kara,Dapaong,Notsé,Tsévié,Aného,Vogan,Bassar"</formula1>
    </dataValidation>
    <dataValidation sqref="E11" showDropDown="0" showInputMessage="0" showErrorMessage="0" allowBlank="1" type="list">
      <formula1>"Résolu,En cours,Non résolu,Nouveau,En attente de décision"</formula1>
    </dataValidation>
    <dataValidation sqref="A12" showDropDown="0" showInputMessage="0" showErrorMessage="0" allowBlank="1" type="list">
      <formula1>"Réussite,Difficulté,Perspective,Besoin,Prière,Alerte"</formula1>
    </dataValidation>
    <dataValidation sqref="B12" showDropDown="0" showInputMessage="0" showErrorMessage="0" allowBlank="1" type="list">
      <formula1>"Mission,Formation,Finance,Infrastructure,Personnel,Spirituel,Organisationnel,Autre"</formula1>
    </dataValidation>
    <dataValidation sqref="C12" showDropDown="0" showInputMessage="0" showErrorMessage="0" allowBlank="1" type="list">
      <formula1>"Tous,Lomé,Kpalimé,Atakpamé,Sokodé,Kara,Dapaong,Notsé,Tsévié,Aného,Vogan,Bassar"</formula1>
    </dataValidation>
    <dataValidation sqref="E12" showDropDown="0" showInputMessage="0" showErrorMessage="0" allowBlank="1" type="list">
      <formula1>"Résolu,En cours,Non résolu,Nouveau,En attente de décision"</formula1>
    </dataValidation>
    <dataValidation sqref="A13" showDropDown="0" showInputMessage="0" showErrorMessage="0" allowBlank="1" type="list">
      <formula1>"Réussite,Difficulté,Perspective,Besoin,Prière,Alerte"</formula1>
    </dataValidation>
    <dataValidation sqref="B13" showDropDown="0" showInputMessage="0" showErrorMessage="0" allowBlank="1" type="list">
      <formula1>"Mission,Formation,Finance,Infrastructure,Personnel,Spirituel,Organisationnel,Autre"</formula1>
    </dataValidation>
    <dataValidation sqref="C13" showDropDown="0" showInputMessage="0" showErrorMessage="0" allowBlank="1" type="list">
      <formula1>"Tous,Lomé,Kpalimé,Atakpamé,Sokodé,Kara,Dapaong,Notsé,Tsévié,Aného,Vogan,Bassar"</formula1>
    </dataValidation>
    <dataValidation sqref="E13" showDropDown="0" showInputMessage="0" showErrorMessage="0" allowBlank="1" type="list">
      <formula1>"Résolu,En cours,Non résolu,Nouveau,En attente de décision"</formula1>
    </dataValidation>
    <dataValidation sqref="A14" showDropDown="0" showInputMessage="0" showErrorMessage="0" allowBlank="1" type="list">
      <formula1>"Réussite,Difficulté,Perspective,Besoin,Prière,Alerte"</formula1>
    </dataValidation>
    <dataValidation sqref="B14" showDropDown="0" showInputMessage="0" showErrorMessage="0" allowBlank="1" type="list">
      <formula1>"Mission,Formation,Finance,Infrastructure,Personnel,Spirituel,Organisationnel,Autre"</formula1>
    </dataValidation>
    <dataValidation sqref="C14" showDropDown="0" showInputMessage="0" showErrorMessage="0" allowBlank="1" type="list">
      <formula1>"Tous,Lomé,Kpalimé,Atakpamé,Sokodé,Kara,Dapaong,Notsé,Tsévié,Aného,Vogan,Bassar"</formula1>
    </dataValidation>
    <dataValidation sqref="E14" showDropDown="0" showInputMessage="0" showErrorMessage="0" allowBlank="1" type="list">
      <formula1>"Résolu,En cours,Non résolu,Nouveau,En attente de décision"</formula1>
    </dataValidation>
    <dataValidation sqref="A15" showDropDown="0" showInputMessage="0" showErrorMessage="0" allowBlank="1" type="list">
      <formula1>"Réussite,Difficulté,Perspective,Besoin,Prière,Alerte"</formula1>
    </dataValidation>
    <dataValidation sqref="B15" showDropDown="0" showInputMessage="0" showErrorMessage="0" allowBlank="1" type="list">
      <formula1>"Mission,Formation,Finance,Infrastructure,Personnel,Spirituel,Organisationnel,Autre"</formula1>
    </dataValidation>
    <dataValidation sqref="C15" showDropDown="0" showInputMessage="0" showErrorMessage="0" allowBlank="1" type="list">
      <formula1>"Tous,Lomé,Kpalimé,Atakpamé,Sokodé,Kara,Dapaong,Notsé,Tsévié,Aného,Vogan,Bassar"</formula1>
    </dataValidation>
    <dataValidation sqref="E15" showDropDown="0" showInputMessage="0" showErrorMessage="0" allowBlank="1" type="list">
      <formula1>"Résolu,En cours,Non résolu,Nouveau,En attente de décision"</formula1>
    </dataValidation>
    <dataValidation sqref="A16" showDropDown="0" showInputMessage="0" showErrorMessage="0" allowBlank="1" type="list">
      <formula1>"Réussite,Difficulté,Perspective,Besoin,Prière,Alerte"</formula1>
    </dataValidation>
    <dataValidation sqref="B16" showDropDown="0" showInputMessage="0" showErrorMessage="0" allowBlank="1" type="list">
      <formula1>"Mission,Formation,Finance,Infrastructure,Personnel,Spirituel,Organisationnel,Autre"</formula1>
    </dataValidation>
    <dataValidation sqref="C16" showDropDown="0" showInputMessage="0" showErrorMessage="0" allowBlank="1" type="list">
      <formula1>"Tous,Lomé,Kpalimé,Atakpamé,Sokodé,Kara,Dapaong,Notsé,Tsévié,Aného,Vogan,Bassar"</formula1>
    </dataValidation>
    <dataValidation sqref="E16" showDropDown="0" showInputMessage="0" showErrorMessage="0" allowBlank="1" type="list">
      <formula1>"Résolu,En cours,Non résolu,Nouveau,En attente de décision"</formula1>
    </dataValidation>
    <dataValidation sqref="A17" showDropDown="0" showInputMessage="0" showErrorMessage="0" allowBlank="1" type="list">
      <formula1>"Réussite,Difficulté,Perspective,Besoin,Prière,Alerte"</formula1>
    </dataValidation>
    <dataValidation sqref="B17" showDropDown="0" showInputMessage="0" showErrorMessage="0" allowBlank="1" type="list">
      <formula1>"Mission,Formation,Finance,Infrastructure,Personnel,Spirituel,Organisationnel,Autre"</formula1>
    </dataValidation>
    <dataValidation sqref="C17" showDropDown="0" showInputMessage="0" showErrorMessage="0" allowBlank="1" type="list">
      <formula1>"Tous,Lomé,Kpalimé,Atakpamé,Sokodé,Kara,Dapaong,Notsé,Tsévié,Aného,Vogan,Bassar"</formula1>
    </dataValidation>
    <dataValidation sqref="E17" showDropDown="0" showInputMessage="0" showErrorMessage="0" allowBlank="1" type="list">
      <formula1>"Résolu,En cours,Non résolu,Nouveau,En attente de décision"</formula1>
    </dataValidation>
    <dataValidation sqref="A18" showDropDown="0" showInputMessage="0" showErrorMessage="0" allowBlank="1" type="list">
      <formula1>"Réussite,Difficulté,Perspective,Besoin,Prière,Alerte"</formula1>
    </dataValidation>
    <dataValidation sqref="B18" showDropDown="0" showInputMessage="0" showErrorMessage="0" allowBlank="1" type="list">
      <formula1>"Mission,Formation,Finance,Infrastructure,Personnel,Spirituel,Organisationnel,Autre"</formula1>
    </dataValidation>
    <dataValidation sqref="C18" showDropDown="0" showInputMessage="0" showErrorMessage="0" allowBlank="1" type="list">
      <formula1>"Tous,Lomé,Kpalimé,Atakpamé,Sokodé,Kara,Dapaong,Notsé,Tsévié,Aného,Vogan,Bassar"</formula1>
    </dataValidation>
    <dataValidation sqref="E18" showDropDown="0" showInputMessage="0" showErrorMessage="0" allowBlank="1" type="list">
      <formula1>"Résolu,En cours,Non résolu,Nouveau,En attente de décision"</formula1>
    </dataValidation>
    <dataValidation sqref="A19" showDropDown="0" showInputMessage="0" showErrorMessage="0" allowBlank="1" type="list">
      <formula1>"Réussite,Difficulté,Perspective,Besoin,Prière,Alerte"</formula1>
    </dataValidation>
    <dataValidation sqref="B19" showDropDown="0" showInputMessage="0" showErrorMessage="0" allowBlank="1" type="list">
      <formula1>"Mission,Formation,Finance,Infrastructure,Personnel,Spirituel,Organisationnel,Autre"</formula1>
    </dataValidation>
    <dataValidation sqref="C19" showDropDown="0" showInputMessage="0" showErrorMessage="0" allowBlank="1" type="list">
      <formula1>"Tous,Lomé,Kpalimé,Atakpamé,Sokodé,Kara,Dapaong,Notsé,Tsévié,Aného,Vogan,Bassar"</formula1>
    </dataValidation>
    <dataValidation sqref="E19" showDropDown="0" showInputMessage="0" showErrorMessage="0" allowBlank="1" type="list">
      <formula1>"Résolu,En cours,Non résolu,Nouveau,En attente de décision"</formula1>
    </dataValidation>
    <dataValidation sqref="A20" showDropDown="0" showInputMessage="0" showErrorMessage="0" allowBlank="1" type="list">
      <formula1>"Réussite,Difficulté,Perspective,Besoin,Prière,Alerte"</formula1>
    </dataValidation>
    <dataValidation sqref="B20" showDropDown="0" showInputMessage="0" showErrorMessage="0" allowBlank="1" type="list">
      <formula1>"Mission,Formation,Finance,Infrastructure,Personnel,Spirituel,Organisationnel,Autre"</formula1>
    </dataValidation>
    <dataValidation sqref="C20" showDropDown="0" showInputMessage="0" showErrorMessage="0" allowBlank="1" type="list">
      <formula1>"Tous,Lomé,Kpalimé,Atakpamé,Sokodé,Kara,Dapaong,Notsé,Tsévié,Aného,Vogan,Bassar"</formula1>
    </dataValidation>
    <dataValidation sqref="E20" showDropDown="0" showInputMessage="0" showErrorMessage="0" allowBlank="1" type="list">
      <formula1>"Résolu,En cours,Non résolu,Nouveau,En attente de décision"</formula1>
    </dataValidation>
    <dataValidation sqref="A21" showDropDown="0" showInputMessage="0" showErrorMessage="0" allowBlank="1" type="list">
      <formula1>"Réussite,Difficulté,Perspective,Besoin,Prière,Alerte"</formula1>
    </dataValidation>
    <dataValidation sqref="B21" showDropDown="0" showInputMessage="0" showErrorMessage="0" allowBlank="1" type="list">
      <formula1>"Mission,Formation,Finance,Infrastructure,Personnel,Spirituel,Organisationnel,Autre"</formula1>
    </dataValidation>
    <dataValidation sqref="C21" showDropDown="0" showInputMessage="0" showErrorMessage="0" allowBlank="1" type="list">
      <formula1>"Tous,Lomé,Kpalimé,Atakpamé,Sokodé,Kara,Dapaong,Notsé,Tsévié,Aného,Vogan,Bassar"</formula1>
    </dataValidation>
    <dataValidation sqref="E21" showDropDown="0" showInputMessage="0" showErrorMessage="0" allowBlank="1" type="list">
      <formula1>"Résolu,En cours,Non résolu,Nouveau,En attente de décision"</formula1>
    </dataValidation>
    <dataValidation sqref="A22" showDropDown="0" showInputMessage="0" showErrorMessage="0" allowBlank="1" type="list">
      <formula1>"Réussite,Difficulté,Perspective,Besoin,Prière,Alerte"</formula1>
    </dataValidation>
    <dataValidation sqref="B22" showDropDown="0" showInputMessage="0" showErrorMessage="0" allowBlank="1" type="list">
      <formula1>"Mission,Formation,Finance,Infrastructure,Personnel,Spirituel,Organisationnel,Autre"</formula1>
    </dataValidation>
    <dataValidation sqref="C22" showDropDown="0" showInputMessage="0" showErrorMessage="0" allowBlank="1" type="list">
      <formula1>"Tous,Lomé,Kpalimé,Atakpamé,Sokodé,Kara,Dapaong,Notsé,Tsévié,Aného,Vogan,Bassar"</formula1>
    </dataValidation>
    <dataValidation sqref="E22" showDropDown="0" showInputMessage="0" showErrorMessage="0" allowBlank="1" type="list">
      <formula1>"Résolu,En cours,Non résolu,Nouveau,En attente de décision"</formula1>
    </dataValidation>
    <dataValidation sqref="A23" showDropDown="0" showInputMessage="0" showErrorMessage="0" allowBlank="1" type="list">
      <formula1>"Réussite,Difficulté,Perspective,Besoin,Prière,Alerte"</formula1>
    </dataValidation>
    <dataValidation sqref="B23" showDropDown="0" showInputMessage="0" showErrorMessage="0" allowBlank="1" type="list">
      <formula1>"Mission,Formation,Finance,Infrastructure,Personnel,Spirituel,Organisationnel,Autre"</formula1>
    </dataValidation>
    <dataValidation sqref="C23" showDropDown="0" showInputMessage="0" showErrorMessage="0" allowBlank="1" type="list">
      <formula1>"Tous,Lomé,Kpalimé,Atakpamé,Sokodé,Kara,Dapaong,Notsé,Tsévié,Aného,Vogan,Bassar"</formula1>
    </dataValidation>
    <dataValidation sqref="E23" showDropDown="0" showInputMessage="0" showErrorMessage="0" allowBlank="1" type="list">
      <formula1>"Résolu,En cours,Non résolu,Nouveau,En attente de décision"</formula1>
    </dataValidation>
    <dataValidation sqref="A24" showDropDown="0" showInputMessage="0" showErrorMessage="0" allowBlank="1" type="list">
      <formula1>"Réussite,Difficulté,Perspective,Besoin,Prière,Alerte"</formula1>
    </dataValidation>
    <dataValidation sqref="B24" showDropDown="0" showInputMessage="0" showErrorMessage="0" allowBlank="1" type="list">
      <formula1>"Mission,Formation,Finance,Infrastructure,Personnel,Spirituel,Organisationnel,Autre"</formula1>
    </dataValidation>
    <dataValidation sqref="C24" showDropDown="0" showInputMessage="0" showErrorMessage="0" allowBlank="1" type="list">
      <formula1>"Tous,Lomé,Kpalimé,Atakpamé,Sokodé,Kara,Dapaong,Notsé,Tsévié,Aného,Vogan,Bassar"</formula1>
    </dataValidation>
    <dataValidation sqref="E24" showDropDown="0" showInputMessage="0" showErrorMessage="0" allowBlank="1" type="list">
      <formula1>"Résolu,En cours,Non résolu,Nouveau,En attente de décision"</formula1>
    </dataValidation>
    <dataValidation sqref="A25" showDropDown="0" showInputMessage="0" showErrorMessage="0" allowBlank="1" type="list">
      <formula1>"Réussite,Difficulté,Perspective,Besoin,Prière,Alerte"</formula1>
    </dataValidation>
    <dataValidation sqref="B25" showDropDown="0" showInputMessage="0" showErrorMessage="0" allowBlank="1" type="list">
      <formula1>"Mission,Formation,Finance,Infrastructure,Personnel,Spirituel,Organisationnel,Autre"</formula1>
    </dataValidation>
    <dataValidation sqref="C25" showDropDown="0" showInputMessage="0" showErrorMessage="0" allowBlank="1" type="list">
      <formula1>"Tous,Lomé,Kpalimé,Atakpamé,Sokodé,Kara,Dapaong,Notsé,Tsévié,Aného,Vogan,Bassar"</formula1>
    </dataValidation>
    <dataValidation sqref="E25" showDropDown="0" showInputMessage="0" showErrorMessage="0" allowBlank="1" type="list">
      <formula1>"Résolu,En cours,Non résolu,Nouveau,En attente de décision"</formula1>
    </dataValidation>
    <dataValidation sqref="A26" showDropDown="0" showInputMessage="0" showErrorMessage="0" allowBlank="1" type="list">
      <formula1>"Réussite,Difficulté,Perspective,Besoin,Prière,Alerte"</formula1>
    </dataValidation>
    <dataValidation sqref="B26" showDropDown="0" showInputMessage="0" showErrorMessage="0" allowBlank="1" type="list">
      <formula1>"Mission,Formation,Finance,Infrastructure,Personnel,Spirituel,Organisationnel,Autre"</formula1>
    </dataValidation>
    <dataValidation sqref="C26" showDropDown="0" showInputMessage="0" showErrorMessage="0" allowBlank="1" type="list">
      <formula1>"Tous,Lomé,Kpalimé,Atakpamé,Sokodé,Kara,Dapaong,Notsé,Tsévié,Aného,Vogan,Bassar"</formula1>
    </dataValidation>
    <dataValidation sqref="E26" showDropDown="0" showInputMessage="0" showErrorMessage="0" allowBlank="1" type="list">
      <formula1>"Résolu,En cours,Non résolu,Nouveau,En attente de décision"</formula1>
    </dataValidation>
    <dataValidation sqref="A27" showDropDown="0" showInputMessage="0" showErrorMessage="0" allowBlank="1" type="list">
      <formula1>"Réussite,Difficulté,Perspective,Besoin,Prière,Alerte"</formula1>
    </dataValidation>
    <dataValidation sqref="B27" showDropDown="0" showInputMessage="0" showErrorMessage="0" allowBlank="1" type="list">
      <formula1>"Mission,Formation,Finance,Infrastructure,Personnel,Spirituel,Organisationnel,Autre"</formula1>
    </dataValidation>
    <dataValidation sqref="C27" showDropDown="0" showInputMessage="0" showErrorMessage="0" allowBlank="1" type="list">
      <formula1>"Tous,Lomé,Kpalimé,Atakpamé,Sokodé,Kara,Dapaong,Notsé,Tsévié,Aného,Vogan,Bassar"</formula1>
    </dataValidation>
    <dataValidation sqref="E27" showDropDown="0" showInputMessage="0" showErrorMessage="0" allowBlank="1" type="list">
      <formula1>"Résolu,En cours,Non résolu,Nouveau,En attente de décision"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2026-06-27T23:22:58Z</dcterms:created>
  <dcterms:modified xmlns:dcterms="http://purl.org/dc/terms/" xmlns:xsi="http://www.w3.org/2001/XMLSchema-instance" xsi:type="dcterms:W3CDTF">2026-06-27T23:22:58Z</dcterms:modified>
</cp:coreProperties>
</file>