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DENTIFICATION" sheetId="1" state="visible" r:id="rId1"/>
    <sheet xmlns:r="http://schemas.openxmlformats.org/officeDocument/2006/relationships" name="2_SYNTHESE_ASSEMBLEES" sheetId="2" state="visible" r:id="rId2"/>
    <sheet xmlns:r="http://schemas.openxmlformats.org/officeDocument/2006/relationships" name="3_ACTIVITES_DISTRICT" sheetId="3" state="visible" r:id="rId3"/>
    <sheet xmlns:r="http://schemas.openxmlformats.org/officeDocument/2006/relationships" name="4_RESSOURCES_HUMAINES" sheetId="4" state="visible" r:id="rId4"/>
    <sheet xmlns:r="http://schemas.openxmlformats.org/officeDocument/2006/relationships" name="5_FINANCES" sheetId="5" state="visible" r:id="rId5"/>
    <sheet xmlns:r="http://schemas.openxmlformats.org/officeDocument/2006/relationships" name="6_REUSSITES_DIFFICUL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8716C"/>
      <sz val="9"/>
    </font>
    <font>
      <name val="Calibri"/>
      <b val="1"/>
      <color rgb="00FFFFFF"/>
      <sz val="10"/>
    </font>
    <font>
      <name val="Calibri"/>
      <color rgb="001E293B"/>
      <sz val="11"/>
    </font>
    <font>
      <name val="Calibri"/>
      <b val="1"/>
      <color rgb="00FFFFFF"/>
      <sz val="13"/>
    </font>
    <font>
      <name val="Calibri"/>
      <color rgb="001E293B"/>
      <sz val="10"/>
    </font>
    <font>
      <name val="Calibri"/>
      <b val="1"/>
      <color rgb="00FFFFFF"/>
      <sz val="12"/>
    </font>
    <font>
      <name val="Calibri"/>
      <b val="1"/>
      <sz val="12"/>
    </font>
    <font>
      <name val="Calibri"/>
      <i val="1"/>
      <color rgb="0064748B"/>
      <sz val="9"/>
    </font>
    <font>
      <name val="Calibri"/>
      <color rgb="00FFFFFF"/>
      <sz val="10"/>
    </font>
    <font>
      <name val="Calibri"/>
      <sz val="12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BEB"/>
      </patternFill>
    </fill>
    <fill>
      <patternFill patternType="solid">
        <fgColor rgb="00EEF2FF"/>
      </patternFill>
    </fill>
    <fill>
      <patternFill patternType="solid">
        <fgColor rgb="00334155"/>
      </patternFill>
    </fill>
    <fill>
      <patternFill patternType="solid">
        <fgColor rgb="000891B2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059669"/>
      </patternFill>
    </fill>
    <fill>
      <patternFill patternType="solid">
        <fgColor rgb="00047857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7">
    <border>
      <left/>
      <right/>
      <top/>
      <bottom/>
      <diagonal/>
    </border>
    <border>
      <left style="medium">
        <color rgb="0064748B"/>
      </left>
      <right style="medium">
        <color rgb="0064748B"/>
      </right>
      <top style="medium">
        <color rgb="0064748B"/>
      </top>
      <bottom style="medium">
        <color rgb="0064748B"/>
      </bottom>
    </border>
    <border>
      <left/>
      <right/>
      <top style="medium">
        <color rgb="0064748B"/>
      </top>
      <bottom/>
      <diagonal/>
    </border>
    <border>
      <left/>
      <right style="medium">
        <color rgb="0064748B"/>
      </right>
      <top style="medium">
        <color rgb="0064748B"/>
      </top>
      <bottom/>
      <diagonal/>
    </border>
    <border>
      <left/>
      <right/>
      <top style="medium">
        <color rgb="0064748B"/>
      </top>
      <bottom style="medium">
        <color rgb="0064748B"/>
      </bottom>
      <diagonal/>
    </border>
    <border>
      <left/>
      <right style="medium">
        <color rgb="0064748B"/>
      </right>
      <top style="medium">
        <color rgb="0064748B"/>
      </top>
      <bottom style="medium">
        <color rgb="0064748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left" vertical="center" wrapText="1"/>
    </xf>
    <xf numFmtId="0" fontId="6" fillId="8" borderId="6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11" borderId="6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3" fillId="10" borderId="6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left" vertical="center" wrapText="1"/>
    </xf>
    <xf numFmtId="3" fontId="11" fillId="15" borderId="1" applyAlignment="1" pivotButton="0" quotePrefix="0" xfId="0">
      <alignment horizontal="center" vertical="center" wrapText="1"/>
    </xf>
    <xf numFmtId="0" fontId="10" fillId="1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3" fontId="8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8" customWidth="1" min="3" max="3"/>
  </cols>
  <sheetData>
    <row r="1" ht="48" customHeight="1">
      <c r="A1" s="1" t="inlineStr">
        <is>
          <t>🏢  RAPPORT MENSUEL — DISTRICT
TLWM TOGO</t>
        </is>
      </c>
      <c r="B1" s="2" t="n"/>
      <c r="C1" s="3" t="n"/>
    </row>
    <row r="2" ht="18" customHeight="1">
      <c r="A2" s="4" t="inlineStr">
        <is>
          <t>ℹ️  Un seul fichier par district par mois. Compiler AVANT les rapports des assemblées.</t>
        </is>
      </c>
    </row>
    <row r="3" ht="22" customHeight="1">
      <c r="A3" s="5" t="inlineStr">
        <is>
          <t>Année</t>
        </is>
      </c>
      <c r="B3" s="6" t="n"/>
    </row>
    <row r="4" ht="22" customHeight="1">
      <c r="A4" s="7" t="inlineStr">
        <is>
          <t>Mois</t>
        </is>
      </c>
      <c r="B4" s="6" t="n"/>
    </row>
    <row r="5" ht="22" customHeight="1">
      <c r="A5" s="5" t="inlineStr">
        <is>
          <t>Code District</t>
        </is>
      </c>
      <c r="B5" s="6" t="n"/>
    </row>
    <row r="6" ht="22" customHeight="1">
      <c r="A6" s="7" t="inlineStr">
        <is>
          <t>Nom District</t>
        </is>
      </c>
      <c r="B6" s="6" t="n"/>
    </row>
    <row r="7" ht="22" customHeight="1">
      <c r="A7" s="5" t="inlineStr">
        <is>
          <t>Superviseur de District</t>
        </is>
      </c>
      <c r="B7" s="6" t="n"/>
    </row>
    <row r="8" ht="22" customHeight="1">
      <c r="A8" s="7" t="inlineStr">
        <is>
          <t>Contact Superviseur</t>
        </is>
      </c>
      <c r="B8" s="6" t="n"/>
    </row>
    <row r="9" ht="22" customHeight="1">
      <c r="A9" s="5" t="inlineStr">
        <is>
          <t>Nombre d'assemblées actives</t>
        </is>
      </c>
      <c r="B9" s="6" t="n"/>
    </row>
    <row r="10" ht="22" customHeight="1">
      <c r="A10" s="7" t="inlineStr">
        <is>
          <t>Nombre de cellules actives</t>
        </is>
      </c>
      <c r="B10" s="6" t="n"/>
    </row>
    <row r="11" ht="22" customHeight="1">
      <c r="A11" s="5" t="inlineStr">
        <is>
          <t>Rapports assemblées reçus (nb/total)</t>
        </is>
      </c>
      <c r="B11" s="6" t="n"/>
    </row>
    <row r="12" ht="22" customHeight="1">
      <c r="A12" s="7" t="inlineStr">
        <is>
          <t>Date soumission au National</t>
        </is>
      </c>
      <c r="B12" s="6" t="n"/>
    </row>
    <row r="13" ht="22" customHeight="1">
      <c r="A13" s="5" t="inlineStr">
        <is>
          <t>Statut du rapport</t>
        </is>
      </c>
      <c r="B13" s="6" t="n"/>
    </row>
  </sheetData>
  <mergeCells count="2">
    <mergeCell ref="A1:C1"/>
    <mergeCell ref="A2:C2"/>
  </mergeCells>
  <dataValidations count="5">
    <dataValidation sqref="B3" showDropDown="0" showInputMessage="0" showErrorMessage="0" allowBlank="1" type="list">
      <formula1>"2024,2025,2026,2027"</formula1>
    </dataValidation>
    <dataValidation sqref="B4" showDropDown="0" showInputMessage="0" showErrorMessage="0" allowBlank="1" type="list">
      <formula1>"Janvier,Février,Mars,Avril,Mai,Juin,Juillet,Août,Septembre,Octobre,Novembre,Décembre"</formula1>
    </dataValidation>
    <dataValidation sqref="B5" showDropDown="0" showInputMessage="0" showErrorMessage="0" allowBlank="1" type="list">
      <formula1>"D01,D02,D03,D04,D05,D06,D07,D08,D09,D10,D11"</formula1>
    </dataValidation>
    <dataValidation sqref="B6" showDropDown="0" showInputMessage="0" showErrorMessage="0" allowBlank="1" type="list">
      <formula1>"Lomé,Kpalimé,Atakpamé,Sokodé,Kara,Dapaong,Notsé,Tsévié,Aného,Vogan,Bassar"</formula1>
    </dataValidation>
    <dataValidation sqref="B13" showDropDown="0" showInputMessage="0" showErrorMessage="0" allowBlank="1" type="list">
      <formula1>"Complet,Partiel,Provisoire"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12" customWidth="1" min="4" max="4"/>
    <col width="13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9" customWidth="1" min="11" max="11"/>
    <col width="10" customWidth="1" min="12" max="12"/>
    <col width="9" customWidth="1" min="13" max="13"/>
    <col width="11" customWidth="1" min="14" max="14"/>
    <col width="10" customWidth="1" min="15" max="15"/>
    <col width="14" customWidth="1" min="16" max="16"/>
    <col width="28" customWidth="1" min="17" max="17"/>
  </cols>
  <sheetData>
    <row r="1" ht="38" customHeight="1">
      <c r="A1" s="8" t="inlineStr">
        <is>
          <t>📊  SYNTHÈSE DES ASSEMBLÉES &amp; CELLULES DU DISTRICT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8" customHeight="1">
      <c r="A2" s="4" t="inlineStr">
        <is>
          <t>ℹ️  Une ligne par unité (Assemblée ou Cellule). Issues des rapports mensuels reçus.</t>
        </is>
      </c>
    </row>
    <row r="3" ht="36" customHeight="1">
      <c r="A3" s="9" t="inlineStr">
        <is>
          <t>Code</t>
        </is>
      </c>
      <c r="B3" s="9" t="inlineStr">
        <is>
          <t>Nom Assemblée / Cellule</t>
        </is>
      </c>
      <c r="C3" s="9" t="inlineStr">
        <is>
          <t>Type</t>
        </is>
      </c>
      <c r="D3" s="9" t="inlineStr">
        <is>
          <t>Rapport
Reçu</t>
        </is>
      </c>
      <c r="E3" s="9" t="inlineStr">
        <is>
          <t>Membres
Actifs</t>
        </is>
      </c>
      <c r="F3" s="9" t="inlineStr">
        <is>
          <t>Ajoutés
ce mois</t>
        </is>
      </c>
      <c r="G3" s="9" t="inlineStr">
        <is>
          <t>Sémin.
en Asb</t>
        </is>
      </c>
      <c r="H3" s="9" t="inlineStr">
        <is>
          <t>Sémin.
Hors Asb</t>
        </is>
      </c>
      <c r="I3" s="9" t="inlineStr">
        <is>
          <t>Assist.
Cultes</t>
        </is>
      </c>
      <c r="J3" s="9" t="inlineStr">
        <is>
          <t>Assist.
Mission</t>
        </is>
      </c>
      <c r="K3" s="9" t="inlineStr">
        <is>
          <t>Sauvés</t>
        </is>
      </c>
      <c r="L3" s="9" t="inlineStr">
        <is>
          <t>Témoig.</t>
        </is>
      </c>
      <c r="M3" s="9" t="inlineStr">
        <is>
          <t>Invités</t>
        </is>
      </c>
      <c r="N3" s="9" t="inlineStr">
        <is>
          <t>Prédicat.</t>
        </is>
      </c>
      <c r="O3" s="9" t="inlineStr">
        <is>
          <t>Pasteurs</t>
        </is>
      </c>
      <c r="P3" s="9" t="inlineStr">
        <is>
          <t>Recettes
(FCFA)</t>
        </is>
      </c>
      <c r="Q3" s="9" t="inlineStr">
        <is>
          <t>Observations</t>
        </is>
      </c>
    </row>
    <row r="4" ht="20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</row>
    <row r="5" ht="20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 ht="20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</row>
    <row r="9" ht="20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 ht="20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</row>
    <row r="18" ht="2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 ht="20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</row>
    <row r="22" ht="20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 ht="2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</row>
    <row r="26" ht="2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 ht="2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2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</row>
    <row r="32" ht="28" customHeight="1">
      <c r="A32" s="12" t="inlineStr">
        <is>
          <t>TOTAUX DISTRICT</t>
        </is>
      </c>
      <c r="E32" s="13">
        <f>SUM(E4:E31)</f>
        <v/>
      </c>
      <c r="F32" s="13">
        <f>SUM(F4:F31)</f>
        <v/>
      </c>
      <c r="G32" s="13">
        <f>SUM(G4:G31)</f>
        <v/>
      </c>
      <c r="H32" s="13">
        <f>SUM(H4:H31)</f>
        <v/>
      </c>
      <c r="I32" s="13">
        <f>SUM(I4:I31)</f>
        <v/>
      </c>
      <c r="J32" s="13">
        <f>SUM(J4:J31)</f>
        <v/>
      </c>
      <c r="K32" s="13">
        <f>SUM(K4:K31)</f>
        <v/>
      </c>
      <c r="L32" s="13">
        <f>SUM(L4:L31)</f>
        <v/>
      </c>
      <c r="M32" s="13">
        <f>SUM(M4:M31)</f>
        <v/>
      </c>
      <c r="N32" s="13">
        <f>SUM(N4:N31)</f>
        <v/>
      </c>
      <c r="O32" s="13">
        <f>SUM(O4:O31)</f>
        <v/>
      </c>
      <c r="P32" s="13">
        <f>SUM(P4:P31)</f>
        <v/>
      </c>
    </row>
  </sheetData>
  <mergeCells count="3">
    <mergeCell ref="A32:D32"/>
    <mergeCell ref="A2:Q2"/>
    <mergeCell ref="A1:Q1"/>
  </mergeCells>
  <dataValidations count="56">
    <dataValidation sqref="D4" showDropDown="0" showInputMessage="0" showErrorMessage="0" allowBlank="1" type="list">
      <formula1>"Oui,Non,Partiel"</formula1>
    </dataValidation>
    <dataValidation sqref="C4" showDropDown="0" showInputMessage="0" showErrorMessage="0" allowBlank="1" type="list">
      <formula1>"Assemblée,Cellule"</formula1>
    </dataValidation>
    <dataValidation sqref="D5" showDropDown="0" showInputMessage="0" showErrorMessage="0" allowBlank="1" type="list">
      <formula1>"Oui,Non,Partiel"</formula1>
    </dataValidation>
    <dataValidation sqref="C5" showDropDown="0" showInputMessage="0" showErrorMessage="0" allowBlank="1" type="list">
      <formula1>"Assemblée,Cellule"</formula1>
    </dataValidation>
    <dataValidation sqref="D6" showDropDown="0" showInputMessage="0" showErrorMessage="0" allowBlank="1" type="list">
      <formula1>"Oui,Non,Partiel"</formula1>
    </dataValidation>
    <dataValidation sqref="C6" showDropDown="0" showInputMessage="0" showErrorMessage="0" allowBlank="1" type="list">
      <formula1>"Assemblée,Cellule"</formula1>
    </dataValidation>
    <dataValidation sqref="D7" showDropDown="0" showInputMessage="0" showErrorMessage="0" allowBlank="1" type="list">
      <formula1>"Oui,Non,Partiel"</formula1>
    </dataValidation>
    <dataValidation sqref="C7" showDropDown="0" showInputMessage="0" showErrorMessage="0" allowBlank="1" type="list">
      <formula1>"Assemblée,Cellule"</formula1>
    </dataValidation>
    <dataValidation sqref="D8" showDropDown="0" showInputMessage="0" showErrorMessage="0" allowBlank="1" type="list">
      <formula1>"Oui,Non,Partiel"</formula1>
    </dataValidation>
    <dataValidation sqref="C8" showDropDown="0" showInputMessage="0" showErrorMessage="0" allowBlank="1" type="list">
      <formula1>"Assemblée,Cellule"</formula1>
    </dataValidation>
    <dataValidation sqref="D9" showDropDown="0" showInputMessage="0" showErrorMessage="0" allowBlank="1" type="list">
      <formula1>"Oui,Non,Partiel"</formula1>
    </dataValidation>
    <dataValidation sqref="C9" showDropDown="0" showInputMessage="0" showErrorMessage="0" allowBlank="1" type="list">
      <formula1>"Assemblée,Cellule"</formula1>
    </dataValidation>
    <dataValidation sqref="D10" showDropDown="0" showInputMessage="0" showErrorMessage="0" allowBlank="1" type="list">
      <formula1>"Oui,Non,Partiel"</formula1>
    </dataValidation>
    <dataValidation sqref="C10" showDropDown="0" showInputMessage="0" showErrorMessage="0" allowBlank="1" type="list">
      <formula1>"Assemblée,Cellule"</formula1>
    </dataValidation>
    <dataValidation sqref="D11" showDropDown="0" showInputMessage="0" showErrorMessage="0" allowBlank="1" type="list">
      <formula1>"Oui,Non,Partiel"</formula1>
    </dataValidation>
    <dataValidation sqref="C11" showDropDown="0" showInputMessage="0" showErrorMessage="0" allowBlank="1" type="list">
      <formula1>"Assemblée,Cellule"</formula1>
    </dataValidation>
    <dataValidation sqref="D12" showDropDown="0" showInputMessage="0" showErrorMessage="0" allowBlank="1" type="list">
      <formula1>"Oui,Non,Partiel"</formula1>
    </dataValidation>
    <dataValidation sqref="C12" showDropDown="0" showInputMessage="0" showErrorMessage="0" allowBlank="1" type="list">
      <formula1>"Assemblée,Cellule"</formula1>
    </dataValidation>
    <dataValidation sqref="D13" showDropDown="0" showInputMessage="0" showErrorMessage="0" allowBlank="1" type="list">
      <formula1>"Oui,Non,Partiel"</formula1>
    </dataValidation>
    <dataValidation sqref="C13" showDropDown="0" showInputMessage="0" showErrorMessage="0" allowBlank="1" type="list">
      <formula1>"Assemblée,Cellule"</formula1>
    </dataValidation>
    <dataValidation sqref="D14" showDropDown="0" showInputMessage="0" showErrorMessage="0" allowBlank="1" type="list">
      <formula1>"Oui,Non,Partiel"</formula1>
    </dataValidation>
    <dataValidation sqref="C14" showDropDown="0" showInputMessage="0" showErrorMessage="0" allowBlank="1" type="list">
      <formula1>"Assemblée,Cellule"</formula1>
    </dataValidation>
    <dataValidation sqref="D15" showDropDown="0" showInputMessage="0" showErrorMessage="0" allowBlank="1" type="list">
      <formula1>"Oui,Non,Partiel"</formula1>
    </dataValidation>
    <dataValidation sqref="C15" showDropDown="0" showInputMessage="0" showErrorMessage="0" allowBlank="1" type="list">
      <formula1>"Assemblée,Cellule"</formula1>
    </dataValidation>
    <dataValidation sqref="D16" showDropDown="0" showInputMessage="0" showErrorMessage="0" allowBlank="1" type="list">
      <formula1>"Oui,Non,Partiel"</formula1>
    </dataValidation>
    <dataValidation sqref="C16" showDropDown="0" showInputMessage="0" showErrorMessage="0" allowBlank="1" type="list">
      <formula1>"Assemblée,Cellule"</formula1>
    </dataValidation>
    <dataValidation sqref="D17" showDropDown="0" showInputMessage="0" showErrorMessage="0" allowBlank="1" type="list">
      <formula1>"Oui,Non,Partiel"</formula1>
    </dataValidation>
    <dataValidation sqref="C17" showDropDown="0" showInputMessage="0" showErrorMessage="0" allowBlank="1" type="list">
      <formula1>"Assemblée,Cellule"</formula1>
    </dataValidation>
    <dataValidation sqref="D18" showDropDown="0" showInputMessage="0" showErrorMessage="0" allowBlank="1" type="list">
      <formula1>"Oui,Non,Partiel"</formula1>
    </dataValidation>
    <dataValidation sqref="C18" showDropDown="0" showInputMessage="0" showErrorMessage="0" allowBlank="1" type="list">
      <formula1>"Assemblée,Cellule"</formula1>
    </dataValidation>
    <dataValidation sqref="D19" showDropDown="0" showInputMessage="0" showErrorMessage="0" allowBlank="1" type="list">
      <formula1>"Oui,Non,Partiel"</formula1>
    </dataValidation>
    <dataValidation sqref="C19" showDropDown="0" showInputMessage="0" showErrorMessage="0" allowBlank="1" type="list">
      <formula1>"Assemblée,Cellule"</formula1>
    </dataValidation>
    <dataValidation sqref="D20" showDropDown="0" showInputMessage="0" showErrorMessage="0" allowBlank="1" type="list">
      <formula1>"Oui,Non,Partiel"</formula1>
    </dataValidation>
    <dataValidation sqref="C20" showDropDown="0" showInputMessage="0" showErrorMessage="0" allowBlank="1" type="list">
      <formula1>"Assemblée,Cellule"</formula1>
    </dataValidation>
    <dataValidation sqref="D21" showDropDown="0" showInputMessage="0" showErrorMessage="0" allowBlank="1" type="list">
      <formula1>"Oui,Non,Partiel"</formula1>
    </dataValidation>
    <dataValidation sqref="C21" showDropDown="0" showInputMessage="0" showErrorMessage="0" allowBlank="1" type="list">
      <formula1>"Assemblée,Cellule"</formula1>
    </dataValidation>
    <dataValidation sqref="D22" showDropDown="0" showInputMessage="0" showErrorMessage="0" allowBlank="1" type="list">
      <formula1>"Oui,Non,Partiel"</formula1>
    </dataValidation>
    <dataValidation sqref="C22" showDropDown="0" showInputMessage="0" showErrorMessage="0" allowBlank="1" type="list">
      <formula1>"Assemblée,Cellule"</formula1>
    </dataValidation>
    <dataValidation sqref="D23" showDropDown="0" showInputMessage="0" showErrorMessage="0" allowBlank="1" type="list">
      <formula1>"Oui,Non,Partiel"</formula1>
    </dataValidation>
    <dataValidation sqref="C23" showDropDown="0" showInputMessage="0" showErrorMessage="0" allowBlank="1" type="list">
      <formula1>"Assemblée,Cellule"</formula1>
    </dataValidation>
    <dataValidation sqref="D24" showDropDown="0" showInputMessage="0" showErrorMessage="0" allowBlank="1" type="list">
      <formula1>"Oui,Non,Partiel"</formula1>
    </dataValidation>
    <dataValidation sqref="C24" showDropDown="0" showInputMessage="0" showErrorMessage="0" allowBlank="1" type="list">
      <formula1>"Assemblée,Cellule"</formula1>
    </dataValidation>
    <dataValidation sqref="D25" showDropDown="0" showInputMessage="0" showErrorMessage="0" allowBlank="1" type="list">
      <formula1>"Oui,Non,Partiel"</formula1>
    </dataValidation>
    <dataValidation sqref="C25" showDropDown="0" showInputMessage="0" showErrorMessage="0" allowBlank="1" type="list">
      <formula1>"Assemblée,Cellule"</formula1>
    </dataValidation>
    <dataValidation sqref="D26" showDropDown="0" showInputMessage="0" showErrorMessage="0" allowBlank="1" type="list">
      <formula1>"Oui,Non,Partiel"</formula1>
    </dataValidation>
    <dataValidation sqref="C26" showDropDown="0" showInputMessage="0" showErrorMessage="0" allowBlank="1" type="list">
      <formula1>"Assemblée,Cellule"</formula1>
    </dataValidation>
    <dataValidation sqref="D27" showDropDown="0" showInputMessage="0" showErrorMessage="0" allowBlank="1" type="list">
      <formula1>"Oui,Non,Partiel"</formula1>
    </dataValidation>
    <dataValidation sqref="C27" showDropDown="0" showInputMessage="0" showErrorMessage="0" allowBlank="1" type="list">
      <formula1>"Assemblée,Cellule"</formula1>
    </dataValidation>
    <dataValidation sqref="D28" showDropDown="0" showInputMessage="0" showErrorMessage="0" allowBlank="1" type="list">
      <formula1>"Oui,Non,Partiel"</formula1>
    </dataValidation>
    <dataValidation sqref="C28" showDropDown="0" showInputMessage="0" showErrorMessage="0" allowBlank="1" type="list">
      <formula1>"Assemblée,Cellule"</formula1>
    </dataValidation>
    <dataValidation sqref="D29" showDropDown="0" showInputMessage="0" showErrorMessage="0" allowBlank="1" type="list">
      <formula1>"Oui,Non,Partiel"</formula1>
    </dataValidation>
    <dataValidation sqref="C29" showDropDown="0" showInputMessage="0" showErrorMessage="0" allowBlank="1" type="list">
      <formula1>"Assemblée,Cellule"</formula1>
    </dataValidation>
    <dataValidation sqref="D30" showDropDown="0" showInputMessage="0" showErrorMessage="0" allowBlank="1" type="list">
      <formula1>"Oui,Non,Partiel"</formula1>
    </dataValidation>
    <dataValidation sqref="C30" showDropDown="0" showInputMessage="0" showErrorMessage="0" allowBlank="1" type="list">
      <formula1>"Assemblée,Cellule"</formula1>
    </dataValidation>
    <dataValidation sqref="D31" showDropDown="0" showInputMessage="0" showErrorMessage="0" allowBlank="1" type="list">
      <formula1>"Oui,Non,Partiel"</formula1>
    </dataValidation>
    <dataValidation sqref="C31" showDropDown="0" showInputMessage="0" showErrorMessage="0" allowBlank="1" type="list">
      <formula1>"Assemblée,Cellule"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9" customWidth="1" min="5" max="5"/>
    <col width="26" customWidth="1" min="6" max="6"/>
    <col width="3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4" customWidth="1" min="13" max="13"/>
  </cols>
  <sheetData>
    <row r="1" ht="38" customHeight="1">
      <c r="A1" s="14" t="inlineStr">
        <is>
          <t>🎯  ACTIVITÉS PROPRES DU DISTRICT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ℹ️  Événements organisés au niveau district (non imputables à une assemblée précise).</t>
        </is>
      </c>
    </row>
    <row r="3" ht="32" customHeight="1">
      <c r="A3" s="15" t="inlineStr">
        <is>
          <t>Date</t>
        </is>
      </c>
      <c r="B3" s="15" t="inlineStr">
        <is>
          <t>Type d'activité</t>
        </is>
      </c>
      <c r="C3" s="15" t="inlineStr">
        <is>
          <t>Nom de l'activité</t>
        </is>
      </c>
      <c r="D3" s="15" t="inlineStr">
        <is>
          <t>Lieu</t>
        </is>
      </c>
      <c r="E3" s="15" t="inlineStr">
        <is>
          <t>Nb
Jours</t>
        </is>
      </c>
      <c r="F3" s="15" t="inlineStr">
        <is>
          <t>Intervenant
Principal</t>
        </is>
      </c>
      <c r="G3" s="15" t="inlineStr">
        <is>
          <t>Thème / Module</t>
        </is>
      </c>
      <c r="H3" s="15" t="inlineStr">
        <is>
          <t>Hommes</t>
        </is>
      </c>
      <c r="I3" s="15" t="inlineStr">
        <is>
          <t>Femmes</t>
        </is>
      </c>
      <c r="J3" s="15" t="inlineStr">
        <is>
          <t>Jeunes</t>
        </is>
      </c>
      <c r="K3" s="15" t="inlineStr">
        <is>
          <t>Assist.
Totale</t>
        </is>
      </c>
      <c r="L3" s="15" t="inlineStr">
        <is>
          <t>Budget
(FCFA)</t>
        </is>
      </c>
      <c r="M3" s="15" t="inlineStr">
        <is>
          <t>Dépenses
(FCFA)</t>
        </is>
      </c>
    </row>
    <row r="4" ht="20" customHeight="1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>
        <f>IFERROR(H4+I4+J4,"")</f>
        <v/>
      </c>
      <c r="L4" s="16" t="n"/>
      <c r="M4" s="16" t="n"/>
    </row>
    <row r="5" ht="20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>
        <f>IFERROR(H5+I5+J5,"")</f>
        <v/>
      </c>
      <c r="L5" s="17" t="n"/>
      <c r="M5" s="17" t="n"/>
    </row>
    <row r="6" ht="20" customHeight="1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>
        <f>IFERROR(H6+I6+J6,"")</f>
        <v/>
      </c>
      <c r="L6" s="16" t="n"/>
      <c r="M6" s="16" t="n"/>
    </row>
    <row r="7" ht="20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>
        <f>IFERROR(H7+I7+J7,"")</f>
        <v/>
      </c>
      <c r="L7" s="17" t="n"/>
      <c r="M7" s="17" t="n"/>
    </row>
    <row r="8" ht="20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>
        <f>IFERROR(H8+I8+J8,"")</f>
        <v/>
      </c>
      <c r="L8" s="16" t="n"/>
      <c r="M8" s="16" t="n"/>
    </row>
    <row r="9" ht="20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>
        <f>IFERROR(H9+I9+J9,"")</f>
        <v/>
      </c>
      <c r="L9" s="17" t="n"/>
      <c r="M9" s="17" t="n"/>
    </row>
    <row r="10" ht="20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>
        <f>IFERROR(H10+I10+J10,"")</f>
        <v/>
      </c>
      <c r="L10" s="16" t="n"/>
      <c r="M10" s="16" t="n"/>
    </row>
    <row r="11" ht="20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>
        <f>IFERROR(H11+I11+J11,"")</f>
        <v/>
      </c>
      <c r="L11" s="17" t="n"/>
      <c r="M11" s="17" t="n"/>
    </row>
    <row r="12" ht="20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>
        <f>IFERROR(H12+I12+J12,"")</f>
        <v/>
      </c>
      <c r="L12" s="16" t="n"/>
      <c r="M12" s="16" t="n"/>
    </row>
    <row r="13" ht="20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>
        <f>IFERROR(H13+I13+J13,"")</f>
        <v/>
      </c>
      <c r="L13" s="17" t="n"/>
      <c r="M13" s="17" t="n"/>
    </row>
    <row r="14" ht="20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>
        <f>IFERROR(H14+I14+J14,"")</f>
        <v/>
      </c>
      <c r="L14" s="16" t="n"/>
      <c r="M14" s="16" t="n"/>
    </row>
    <row r="15" ht="20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>
        <f>IFERROR(H15+I15+J15,"")</f>
        <v/>
      </c>
      <c r="L15" s="17" t="n"/>
      <c r="M15" s="17" t="n"/>
    </row>
    <row r="16" ht="20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>
        <f>IFERROR(H16+I16+J16,"")</f>
        <v/>
      </c>
      <c r="L16" s="16" t="n"/>
      <c r="M16" s="16" t="n"/>
    </row>
    <row r="17" ht="20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>
        <f>IFERROR(H17+I17+J17,"")</f>
        <v/>
      </c>
      <c r="L17" s="17" t="n"/>
      <c r="M17" s="17" t="n"/>
    </row>
    <row r="18" ht="20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>
        <f>IFERROR(H18+I18+J18,"")</f>
        <v/>
      </c>
      <c r="L18" s="16" t="n"/>
      <c r="M18" s="16" t="n"/>
    </row>
    <row r="19" ht="20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>
        <f>IFERROR(H19+I19+J19,"")</f>
        <v/>
      </c>
      <c r="L19" s="17" t="n"/>
      <c r="M19" s="17" t="n"/>
    </row>
    <row r="20" ht="20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>
        <f>IFERROR(H20+I20+J20,"")</f>
        <v/>
      </c>
      <c r="L20" s="16" t="n"/>
      <c r="M20" s="16" t="n"/>
    </row>
    <row r="21" ht="20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>
        <f>IFERROR(H21+I21+J21,"")</f>
        <v/>
      </c>
      <c r="L21" s="17" t="n"/>
      <c r="M21" s="17" t="n"/>
    </row>
    <row r="22" ht="20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>
        <f>IFERROR(H22+I22+J22,"")</f>
        <v/>
      </c>
      <c r="L22" s="16" t="n"/>
      <c r="M22" s="16" t="n"/>
    </row>
    <row r="23" ht="20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>
        <f>IFERROR(H23+I23+J23,"")</f>
        <v/>
      </c>
      <c r="L23" s="17" t="n"/>
      <c r="M23" s="17" t="n"/>
    </row>
  </sheetData>
  <mergeCells count="2">
    <mergeCell ref="A2:M2"/>
    <mergeCell ref="A1:M1"/>
  </mergeCells>
  <dataValidations count="20">
    <dataValidation sqref="B4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5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6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7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8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9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0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1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2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3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4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5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6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7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8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19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20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21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22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  <dataValidation sqref="B23" showDropDown="0" showInputMessage="0" showErrorMessage="0" allowBlank="1" type="list">
      <formula1>"Formation District,CPPD,QG District,Réunion Pasteurs,École Prédicateurs,Séminaire District,Célébration Spéciale,Mission District,Retraite,Autre"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2" customWidth="1" min="3" max="3"/>
  </cols>
  <sheetData>
    <row r="1" ht="38" customHeight="1">
      <c r="A1" s="14" t="inlineStr">
        <is>
          <t>👥  RESSOURCES HUMAINES — District (Snapshot)</t>
        </is>
      </c>
      <c r="B1" s="2" t="n"/>
      <c r="C1" s="3" t="n"/>
    </row>
    <row r="2" ht="22" customHeight="1">
      <c r="A2" s="18" t="inlineStr">
        <is>
          <t xml:space="preserve">  ▸  EFFECTIFS CUMULÉS DU DISTRICT</t>
        </is>
      </c>
      <c r="B2" s="2" t="n"/>
      <c r="C2" s="3" t="n"/>
    </row>
    <row r="3" ht="22" customHeight="1">
      <c r="A3" s="19" t="inlineStr">
        <is>
          <t>Total membres actifs (toutes assemblées + cellules)</t>
        </is>
      </c>
      <c r="B3" s="20" t="n"/>
      <c r="C3" s="21">
        <f> Synthèse col E, ligne TOTAUX</f>
        <v/>
      </c>
    </row>
    <row r="4" ht="22" customHeight="1">
      <c r="A4" s="22" t="inlineStr">
        <is>
          <t>Total ajoutés ce mois</t>
        </is>
      </c>
      <c r="B4" s="20" t="n"/>
    </row>
    <row r="5" ht="22" customHeight="1">
      <c r="A5" s="19" t="inlineStr">
        <is>
          <t>Total pasteurs</t>
        </is>
      </c>
      <c r="B5" s="20" t="n"/>
    </row>
    <row r="6" ht="22" customHeight="1">
      <c r="A6" s="22" t="inlineStr">
        <is>
          <t>Total prédicateurs accrédités</t>
        </is>
      </c>
      <c r="B6" s="20" t="n"/>
    </row>
    <row r="7" ht="22" customHeight="1">
      <c r="A7" s="19" t="inlineStr">
        <is>
          <t>Prédicateurs en formation (école)</t>
        </is>
      </c>
      <c r="B7" s="20" t="n"/>
    </row>
    <row r="8" ht="22" customHeight="1">
      <c r="A8" s="22" t="inlineStr">
        <is>
          <t>Diacres / responsables (total)</t>
        </is>
      </c>
      <c r="B8" s="20" t="n"/>
    </row>
    <row r="9" ht="22" customHeight="1">
      <c r="A9" s="19" t="inlineStr">
        <is>
          <t>Missionnaires affectés au district</t>
        </is>
      </c>
      <c r="B9" s="20" t="n"/>
    </row>
    <row r="10" ht="22" customHeight="1">
      <c r="A10" s="18" t="inlineStr">
        <is>
          <t xml:space="preserve">  ▸  STRUCTURE</t>
        </is>
      </c>
      <c r="B10" s="2" t="n"/>
      <c r="C10" s="3" t="n"/>
    </row>
    <row r="11" ht="22" customHeight="1">
      <c r="A11" s="19" t="inlineStr">
        <is>
          <t>Nombre d'assemblées actives</t>
        </is>
      </c>
      <c r="B11" s="20" t="n"/>
    </row>
    <row r="12" ht="22" customHeight="1">
      <c r="A12" s="22" t="inlineStr">
        <is>
          <t>Nombre de cellules actives</t>
        </is>
      </c>
      <c r="B12" s="20" t="n"/>
    </row>
    <row r="13" ht="22" customHeight="1">
      <c r="A13" s="19" t="inlineStr">
        <is>
          <t>Nouveaux prédicateurs accrédités ce mois</t>
        </is>
      </c>
      <c r="B13" s="20" t="n"/>
    </row>
    <row r="14" ht="22" customHeight="1">
      <c r="A14" s="22" t="inlineStr">
        <is>
          <t>Prédicateurs diplômés de l'école ce mois</t>
        </is>
      </c>
      <c r="B14" s="20" t="n"/>
    </row>
    <row r="15" ht="22" customHeight="1">
      <c r="A15" s="19" t="inlineStr">
        <is>
          <t>Prédicateurs utilisés en mission ce mois</t>
        </is>
      </c>
      <c r="B15" s="20" t="n"/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0" customWidth="1" min="3" max="3"/>
  </cols>
  <sheetData>
    <row r="1" ht="38" customHeight="1">
      <c r="A1" s="23" t="inlineStr">
        <is>
          <t>💰  FINANCES — District (FCFA)</t>
        </is>
      </c>
      <c r="B1" s="2" t="n"/>
      <c r="C1" s="3" t="n"/>
    </row>
    <row r="2" ht="22" customHeight="1">
      <c r="A2" s="24" t="inlineStr">
        <is>
          <t xml:space="preserve">  ▸  RECETTES</t>
        </is>
      </c>
      <c r="B2" s="2" t="n"/>
      <c r="C2" s="3" t="n"/>
    </row>
    <row r="3" ht="22" customHeight="1">
      <c r="A3" s="25" t="inlineStr">
        <is>
          <t>Total remontées des assemblées</t>
        </is>
      </c>
      <c r="B3" s="26" t="n"/>
    </row>
    <row r="4" ht="22" customHeight="1">
      <c r="A4" s="27" t="inlineStr">
        <is>
          <t>Dotation reçue du National</t>
        </is>
      </c>
      <c r="B4" s="26" t="n"/>
    </row>
    <row r="5" ht="22" customHeight="1">
      <c r="A5" s="25" t="inlineStr">
        <is>
          <t>Autres recettes district</t>
        </is>
      </c>
      <c r="B5" s="26" t="n"/>
    </row>
    <row r="6" ht="22" customHeight="1">
      <c r="A6" s="24" t="inlineStr">
        <is>
          <t xml:space="preserve">  ▸  DÉPENSES</t>
        </is>
      </c>
      <c r="B6" s="2" t="n"/>
      <c r="C6" s="3" t="n"/>
    </row>
    <row r="7" ht="22" customHeight="1">
      <c r="A7" s="25" t="inlineStr">
        <is>
          <t>Dépenses activités propres district</t>
        </is>
      </c>
      <c r="B7" s="26" t="inlineStr">
        <is>
          <t>Formations, CPPD, QG, etc.</t>
        </is>
      </c>
    </row>
    <row r="8" ht="22" customHeight="1">
      <c r="A8" s="27" t="inlineStr">
        <is>
          <t>Dépenses fonctionnement (bureau district)</t>
        </is>
      </c>
      <c r="B8" s="26" t="n"/>
    </row>
    <row r="9" ht="22" customHeight="1">
      <c r="A9" s="25" t="inlineStr">
        <is>
          <t>Dotations redistribuées aux assemblées</t>
        </is>
      </c>
      <c r="B9" s="26" t="n"/>
    </row>
    <row r="10" ht="22" customHeight="1">
      <c r="A10" s="24" t="inlineStr">
        <is>
          <t xml:space="preserve">  ▸  BILAN</t>
        </is>
      </c>
      <c r="B10" s="2" t="n"/>
      <c r="C10" s="3" t="n"/>
    </row>
    <row r="11" ht="24" customHeight="1">
      <c r="A11" s="28" t="inlineStr">
        <is>
          <t>TOTAL RECETTES</t>
        </is>
      </c>
      <c r="B11" s="29">
        <f>SUM(B3:B5)</f>
        <v/>
      </c>
    </row>
    <row r="12" ht="24" customHeight="1">
      <c r="A12" s="28" t="inlineStr">
        <is>
          <t>TOTAL DÉPENSES</t>
        </is>
      </c>
      <c r="B12" s="29">
        <f>SUM(B7:B9)</f>
        <v/>
      </c>
    </row>
    <row r="13" ht="22" customHeight="1">
      <c r="A13" s="25" t="inlineStr">
        <is>
          <t>Remontée reversée au National</t>
        </is>
      </c>
      <c r="B13" s="26" t="n"/>
    </row>
    <row r="14" ht="24" customHeight="1">
      <c r="A14" s="28" t="inlineStr">
        <is>
          <t>SOLDE DISTRICT</t>
        </is>
      </c>
      <c r="B14" s="29">
        <f>B11-B12-B13</f>
        <v/>
      </c>
    </row>
    <row r="15" ht="22" customHeight="1">
      <c r="A15" s="25" t="inlineStr">
        <is>
          <t>Observations finances</t>
        </is>
      </c>
      <c r="B15" s="26" t="n"/>
    </row>
  </sheetData>
  <mergeCells count="4">
    <mergeCell ref="A1:C1"/>
    <mergeCell ref="A2:C2"/>
    <mergeCell ref="A6:C6"/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8" customWidth="1" min="4" max="4"/>
    <col width="45" customWidth="1" min="5" max="5"/>
  </cols>
  <sheetData>
    <row r="1" ht="38" customHeight="1">
      <c r="A1" s="30" t="inlineStr">
        <is>
          <t>📝  RÉUSSITES, DIFFICULTÉS &amp; PERSPECTIVES — District</t>
        </is>
      </c>
      <c r="B1" s="2" t="n"/>
      <c r="C1" s="2" t="n"/>
      <c r="D1" s="2" t="n"/>
      <c r="E1" s="3" t="n"/>
    </row>
    <row r="2" ht="18" customHeight="1">
      <c r="A2" s="4" t="inlineStr">
        <is>
          <t>ℹ️  Inclure les points remontés par les assemblées + les observations propres au district.</t>
        </is>
      </c>
    </row>
    <row r="3" ht="26" customHeight="1">
      <c r="A3" s="31" t="inlineStr">
        <is>
          <t>Type</t>
        </is>
      </c>
      <c r="B3" s="31" t="inlineStr">
        <is>
          <t>Catégorie</t>
        </is>
      </c>
      <c r="C3" s="31" t="inlineStr">
        <is>
          <t>Description détaillée</t>
        </is>
      </c>
      <c r="D3" s="31" t="inlineStr">
        <is>
          <t>Statut</t>
        </is>
      </c>
      <c r="E3" s="31" t="inlineStr">
        <is>
          <t>Actions / Suivi</t>
        </is>
      </c>
    </row>
    <row r="4" ht="20" customHeight="1">
      <c r="A4" s="16" t="n"/>
      <c r="B4" s="16" t="n"/>
      <c r="C4" s="16" t="n"/>
      <c r="D4" s="16" t="n"/>
      <c r="E4" s="16" t="n"/>
    </row>
    <row r="5" ht="20" customHeight="1">
      <c r="A5" s="17" t="n"/>
      <c r="B5" s="17" t="n"/>
      <c r="C5" s="17" t="n"/>
      <c r="D5" s="17" t="n"/>
      <c r="E5" s="17" t="n"/>
    </row>
    <row r="6" ht="20" customHeight="1">
      <c r="A6" s="16" t="n"/>
      <c r="B6" s="16" t="n"/>
      <c r="C6" s="16" t="n"/>
      <c r="D6" s="16" t="n"/>
      <c r="E6" s="16" t="n"/>
    </row>
    <row r="7" ht="20" customHeight="1">
      <c r="A7" s="17" t="n"/>
      <c r="B7" s="17" t="n"/>
      <c r="C7" s="17" t="n"/>
      <c r="D7" s="17" t="n"/>
      <c r="E7" s="17" t="n"/>
    </row>
    <row r="8" ht="20" customHeight="1">
      <c r="A8" s="16" t="n"/>
      <c r="B8" s="16" t="n"/>
      <c r="C8" s="16" t="n"/>
      <c r="D8" s="16" t="n"/>
      <c r="E8" s="16" t="n"/>
    </row>
    <row r="9" ht="20" customHeight="1">
      <c r="A9" s="17" t="n"/>
      <c r="B9" s="17" t="n"/>
      <c r="C9" s="17" t="n"/>
      <c r="D9" s="17" t="n"/>
      <c r="E9" s="17" t="n"/>
    </row>
    <row r="10" ht="20" customHeight="1">
      <c r="A10" s="16" t="n"/>
      <c r="B10" s="16" t="n"/>
      <c r="C10" s="16" t="n"/>
      <c r="D10" s="16" t="n"/>
      <c r="E10" s="16" t="n"/>
    </row>
    <row r="11" ht="20" customHeight="1">
      <c r="A11" s="17" t="n"/>
      <c r="B11" s="17" t="n"/>
      <c r="C11" s="17" t="n"/>
      <c r="D11" s="17" t="n"/>
      <c r="E11" s="17" t="n"/>
    </row>
    <row r="12" ht="20" customHeight="1">
      <c r="A12" s="16" t="n"/>
      <c r="B12" s="16" t="n"/>
      <c r="C12" s="16" t="n"/>
      <c r="D12" s="16" t="n"/>
      <c r="E12" s="16" t="n"/>
    </row>
    <row r="13" ht="20" customHeight="1">
      <c r="A13" s="17" t="n"/>
      <c r="B13" s="17" t="n"/>
      <c r="C13" s="17" t="n"/>
      <c r="D13" s="17" t="n"/>
      <c r="E13" s="17" t="n"/>
    </row>
    <row r="14" ht="20" customHeight="1">
      <c r="A14" s="16" t="n"/>
      <c r="B14" s="16" t="n"/>
      <c r="C14" s="16" t="n"/>
      <c r="D14" s="16" t="n"/>
      <c r="E14" s="16" t="n"/>
    </row>
    <row r="15" ht="20" customHeight="1">
      <c r="A15" s="17" t="n"/>
      <c r="B15" s="17" t="n"/>
      <c r="C15" s="17" t="n"/>
      <c r="D15" s="17" t="n"/>
      <c r="E15" s="17" t="n"/>
    </row>
    <row r="16" ht="20" customHeight="1">
      <c r="A16" s="16" t="n"/>
      <c r="B16" s="16" t="n"/>
      <c r="C16" s="16" t="n"/>
      <c r="D16" s="16" t="n"/>
      <c r="E16" s="16" t="n"/>
    </row>
    <row r="17" ht="20" customHeight="1">
      <c r="A17" s="17" t="n"/>
      <c r="B17" s="17" t="n"/>
      <c r="C17" s="17" t="n"/>
      <c r="D17" s="17" t="n"/>
      <c r="E17" s="17" t="n"/>
    </row>
    <row r="18" ht="20" customHeight="1">
      <c r="A18" s="16" t="n"/>
      <c r="B18" s="16" t="n"/>
      <c r="C18" s="16" t="n"/>
      <c r="D18" s="16" t="n"/>
      <c r="E18" s="16" t="n"/>
    </row>
    <row r="19" ht="20" customHeight="1">
      <c r="A19" s="17" t="n"/>
      <c r="B19" s="17" t="n"/>
      <c r="C19" s="17" t="n"/>
      <c r="D19" s="17" t="n"/>
      <c r="E19" s="17" t="n"/>
    </row>
    <row r="20" ht="20" customHeight="1">
      <c r="A20" s="16" t="n"/>
      <c r="B20" s="16" t="n"/>
      <c r="C20" s="16" t="n"/>
      <c r="D20" s="16" t="n"/>
      <c r="E20" s="16" t="n"/>
    </row>
    <row r="21" ht="20" customHeight="1">
      <c r="A21" s="17" t="n"/>
      <c r="B21" s="17" t="n"/>
      <c r="C21" s="17" t="n"/>
      <c r="D21" s="17" t="n"/>
      <c r="E21" s="17" t="n"/>
    </row>
    <row r="22" ht="20" customHeight="1">
      <c r="A22" s="16" t="n"/>
      <c r="B22" s="16" t="n"/>
      <c r="C22" s="16" t="n"/>
      <c r="D22" s="16" t="n"/>
      <c r="E22" s="16" t="n"/>
    </row>
    <row r="23" ht="20" customHeight="1">
      <c r="A23" s="17" t="n"/>
      <c r="B23" s="17" t="n"/>
      <c r="C23" s="17" t="n"/>
      <c r="D23" s="17" t="n"/>
      <c r="E23" s="17" t="n"/>
    </row>
    <row r="24" ht="20" customHeight="1">
      <c r="A24" s="16" t="n"/>
      <c r="B24" s="16" t="n"/>
      <c r="C24" s="16" t="n"/>
      <c r="D24" s="16" t="n"/>
      <c r="E24" s="16" t="n"/>
    </row>
    <row r="25" ht="20" customHeight="1">
      <c r="A25" s="17" t="n"/>
      <c r="B25" s="17" t="n"/>
      <c r="C25" s="17" t="n"/>
      <c r="D25" s="17" t="n"/>
      <c r="E25" s="17" t="n"/>
    </row>
    <row r="26" ht="20" customHeight="1">
      <c r="A26" s="16" t="n"/>
      <c r="B26" s="16" t="n"/>
      <c r="C26" s="16" t="n"/>
      <c r="D26" s="16" t="n"/>
      <c r="E26" s="16" t="n"/>
    </row>
    <row r="27" ht="20" customHeight="1">
      <c r="A27" s="17" t="n"/>
      <c r="B27" s="17" t="n"/>
      <c r="C27" s="17" t="n"/>
      <c r="D27" s="17" t="n"/>
      <c r="E27" s="17" t="n"/>
    </row>
  </sheetData>
  <mergeCells count="2">
    <mergeCell ref="A2:E2"/>
    <mergeCell ref="A1:E1"/>
  </mergeCells>
  <dataValidations count="72">
    <dataValidation sqref="A4" showDropDown="0" showInputMessage="0" showErrorMessage="0" allowBlank="1" type="list">
      <formula1>"Réussite,Difficulté,Perspective,Besoin,Prière"</formula1>
    </dataValidation>
    <dataValidation sqref="B4" showDropDown="0" showInputMessage="0" showErrorMessage="0" allowBlank="1" type="list">
      <formula1>"Mission,Formation,Finance,Infrastructure,Personnel,Spirituel,Assemblée spécifique,Autre"</formula1>
    </dataValidation>
    <dataValidation sqref="D4" showDropDown="0" showInputMessage="0" showErrorMessage="0" allowBlank="1" type="list">
      <formula1>"Résolu,En cours,Non résolu,Nouveau,Transmis au National"</formula1>
    </dataValidation>
    <dataValidation sqref="A5" showDropDown="0" showInputMessage="0" showErrorMessage="0" allowBlank="1" type="list">
      <formula1>"Réussite,Difficulté,Perspective,Besoin,Prière"</formula1>
    </dataValidation>
    <dataValidation sqref="B5" showDropDown="0" showInputMessage="0" showErrorMessage="0" allowBlank="1" type="list">
      <formula1>"Mission,Formation,Finance,Infrastructure,Personnel,Spirituel,Assemblée spécifique,Autre"</formula1>
    </dataValidation>
    <dataValidation sqref="D5" showDropDown="0" showInputMessage="0" showErrorMessage="0" allowBlank="1" type="list">
      <formula1>"Résolu,En cours,Non résolu,Nouveau,Transmis au National"</formula1>
    </dataValidation>
    <dataValidation sqref="A6" showDropDown="0" showInputMessage="0" showErrorMessage="0" allowBlank="1" type="list">
      <formula1>"Réussite,Difficulté,Perspective,Besoin,Prière"</formula1>
    </dataValidation>
    <dataValidation sqref="B6" showDropDown="0" showInputMessage="0" showErrorMessage="0" allowBlank="1" type="list">
      <formula1>"Mission,Formation,Finance,Infrastructure,Personnel,Spirituel,Assemblée spécifique,Autre"</formula1>
    </dataValidation>
    <dataValidation sqref="D6" showDropDown="0" showInputMessage="0" showErrorMessage="0" allowBlank="1" type="list">
      <formula1>"Résolu,En cours,Non résolu,Nouveau,Transmis au National"</formula1>
    </dataValidation>
    <dataValidation sqref="A7" showDropDown="0" showInputMessage="0" showErrorMessage="0" allowBlank="1" type="list">
      <formula1>"Réussite,Difficulté,Perspective,Besoin,Prière"</formula1>
    </dataValidation>
    <dataValidation sqref="B7" showDropDown="0" showInputMessage="0" showErrorMessage="0" allowBlank="1" type="list">
      <formula1>"Mission,Formation,Finance,Infrastructure,Personnel,Spirituel,Assemblée spécifique,Autre"</formula1>
    </dataValidation>
    <dataValidation sqref="D7" showDropDown="0" showInputMessage="0" showErrorMessage="0" allowBlank="1" type="list">
      <formula1>"Résolu,En cours,Non résolu,Nouveau,Transmis au National"</formula1>
    </dataValidation>
    <dataValidation sqref="A8" showDropDown="0" showInputMessage="0" showErrorMessage="0" allowBlank="1" type="list">
      <formula1>"Réussite,Difficulté,Perspective,Besoin,Prière"</formula1>
    </dataValidation>
    <dataValidation sqref="B8" showDropDown="0" showInputMessage="0" showErrorMessage="0" allowBlank="1" type="list">
      <formula1>"Mission,Formation,Finance,Infrastructure,Personnel,Spirituel,Assemblée spécifique,Autre"</formula1>
    </dataValidation>
    <dataValidation sqref="D8" showDropDown="0" showInputMessage="0" showErrorMessage="0" allowBlank="1" type="list">
      <formula1>"Résolu,En cours,Non résolu,Nouveau,Transmis au National"</formula1>
    </dataValidation>
    <dataValidation sqref="A9" showDropDown="0" showInputMessage="0" showErrorMessage="0" allowBlank="1" type="list">
      <formula1>"Réussite,Difficulté,Perspective,Besoin,Prière"</formula1>
    </dataValidation>
    <dataValidation sqref="B9" showDropDown="0" showInputMessage="0" showErrorMessage="0" allowBlank="1" type="list">
      <formula1>"Mission,Formation,Finance,Infrastructure,Personnel,Spirituel,Assemblée spécifique,Autre"</formula1>
    </dataValidation>
    <dataValidation sqref="D9" showDropDown="0" showInputMessage="0" showErrorMessage="0" allowBlank="1" type="list">
      <formula1>"Résolu,En cours,Non résolu,Nouveau,Transmis au National"</formula1>
    </dataValidation>
    <dataValidation sqref="A10" showDropDown="0" showInputMessage="0" showErrorMessage="0" allowBlank="1" type="list">
      <formula1>"Réussite,Difficulté,Perspective,Besoin,Prière"</formula1>
    </dataValidation>
    <dataValidation sqref="B10" showDropDown="0" showInputMessage="0" showErrorMessage="0" allowBlank="1" type="list">
      <formula1>"Mission,Formation,Finance,Infrastructure,Personnel,Spirituel,Assemblée spécifique,Autre"</formula1>
    </dataValidation>
    <dataValidation sqref="D10" showDropDown="0" showInputMessage="0" showErrorMessage="0" allowBlank="1" type="list">
      <formula1>"Résolu,En cours,Non résolu,Nouveau,Transmis au National"</formula1>
    </dataValidation>
    <dataValidation sqref="A11" showDropDown="0" showInputMessage="0" showErrorMessage="0" allowBlank="1" type="list">
      <formula1>"Réussite,Difficulté,Perspective,Besoin,Prière"</formula1>
    </dataValidation>
    <dataValidation sqref="B11" showDropDown="0" showInputMessage="0" showErrorMessage="0" allowBlank="1" type="list">
      <formula1>"Mission,Formation,Finance,Infrastructure,Personnel,Spirituel,Assemblée spécifique,Autre"</formula1>
    </dataValidation>
    <dataValidation sqref="D11" showDropDown="0" showInputMessage="0" showErrorMessage="0" allowBlank="1" type="list">
      <formula1>"Résolu,En cours,Non résolu,Nouveau,Transmis au National"</formula1>
    </dataValidation>
    <dataValidation sqref="A12" showDropDown="0" showInputMessage="0" showErrorMessage="0" allowBlank="1" type="list">
      <formula1>"Réussite,Difficulté,Perspective,Besoin,Prière"</formula1>
    </dataValidation>
    <dataValidation sqref="B12" showDropDown="0" showInputMessage="0" showErrorMessage="0" allowBlank="1" type="list">
      <formula1>"Mission,Formation,Finance,Infrastructure,Personnel,Spirituel,Assemblée spécifique,Autre"</formula1>
    </dataValidation>
    <dataValidation sqref="D12" showDropDown="0" showInputMessage="0" showErrorMessage="0" allowBlank="1" type="list">
      <formula1>"Résolu,En cours,Non résolu,Nouveau,Transmis au National"</formula1>
    </dataValidation>
    <dataValidation sqref="A13" showDropDown="0" showInputMessage="0" showErrorMessage="0" allowBlank="1" type="list">
      <formula1>"Réussite,Difficulté,Perspective,Besoin,Prière"</formula1>
    </dataValidation>
    <dataValidation sqref="B13" showDropDown="0" showInputMessage="0" showErrorMessage="0" allowBlank="1" type="list">
      <formula1>"Mission,Formation,Finance,Infrastructure,Personnel,Spirituel,Assemblée spécifique,Autre"</formula1>
    </dataValidation>
    <dataValidation sqref="D13" showDropDown="0" showInputMessage="0" showErrorMessage="0" allowBlank="1" type="list">
      <formula1>"Résolu,En cours,Non résolu,Nouveau,Transmis au National"</formula1>
    </dataValidation>
    <dataValidation sqref="A14" showDropDown="0" showInputMessage="0" showErrorMessage="0" allowBlank="1" type="list">
      <formula1>"Réussite,Difficulté,Perspective,Besoin,Prière"</formula1>
    </dataValidation>
    <dataValidation sqref="B14" showDropDown="0" showInputMessage="0" showErrorMessage="0" allowBlank="1" type="list">
      <formula1>"Mission,Formation,Finance,Infrastructure,Personnel,Spirituel,Assemblée spécifique,Autre"</formula1>
    </dataValidation>
    <dataValidation sqref="D14" showDropDown="0" showInputMessage="0" showErrorMessage="0" allowBlank="1" type="list">
      <formula1>"Résolu,En cours,Non résolu,Nouveau,Transmis au National"</formula1>
    </dataValidation>
    <dataValidation sqref="A15" showDropDown="0" showInputMessage="0" showErrorMessage="0" allowBlank="1" type="list">
      <formula1>"Réussite,Difficulté,Perspective,Besoin,Prière"</formula1>
    </dataValidation>
    <dataValidation sqref="B15" showDropDown="0" showInputMessage="0" showErrorMessage="0" allowBlank="1" type="list">
      <formula1>"Mission,Formation,Finance,Infrastructure,Personnel,Spirituel,Assemblée spécifique,Autre"</formula1>
    </dataValidation>
    <dataValidation sqref="D15" showDropDown="0" showInputMessage="0" showErrorMessage="0" allowBlank="1" type="list">
      <formula1>"Résolu,En cours,Non résolu,Nouveau,Transmis au National"</formula1>
    </dataValidation>
    <dataValidation sqref="A16" showDropDown="0" showInputMessage="0" showErrorMessage="0" allowBlank="1" type="list">
      <formula1>"Réussite,Difficulté,Perspective,Besoin,Prière"</formula1>
    </dataValidation>
    <dataValidation sqref="B16" showDropDown="0" showInputMessage="0" showErrorMessage="0" allowBlank="1" type="list">
      <formula1>"Mission,Formation,Finance,Infrastructure,Personnel,Spirituel,Assemblée spécifique,Autre"</formula1>
    </dataValidation>
    <dataValidation sqref="D16" showDropDown="0" showInputMessage="0" showErrorMessage="0" allowBlank="1" type="list">
      <formula1>"Résolu,En cours,Non résolu,Nouveau,Transmis au National"</formula1>
    </dataValidation>
    <dataValidation sqref="A17" showDropDown="0" showInputMessage="0" showErrorMessage="0" allowBlank="1" type="list">
      <formula1>"Réussite,Difficulté,Perspective,Besoin,Prière"</formula1>
    </dataValidation>
    <dataValidation sqref="B17" showDropDown="0" showInputMessage="0" showErrorMessage="0" allowBlank="1" type="list">
      <formula1>"Mission,Formation,Finance,Infrastructure,Personnel,Spirituel,Assemblée spécifique,Autre"</formula1>
    </dataValidation>
    <dataValidation sqref="D17" showDropDown="0" showInputMessage="0" showErrorMessage="0" allowBlank="1" type="list">
      <formula1>"Résolu,En cours,Non résolu,Nouveau,Transmis au National"</formula1>
    </dataValidation>
    <dataValidation sqref="A18" showDropDown="0" showInputMessage="0" showErrorMessage="0" allowBlank="1" type="list">
      <formula1>"Réussite,Difficulté,Perspective,Besoin,Prière"</formula1>
    </dataValidation>
    <dataValidation sqref="B18" showDropDown="0" showInputMessage="0" showErrorMessage="0" allowBlank="1" type="list">
      <formula1>"Mission,Formation,Finance,Infrastructure,Personnel,Spirituel,Assemblée spécifique,Autre"</formula1>
    </dataValidation>
    <dataValidation sqref="D18" showDropDown="0" showInputMessage="0" showErrorMessage="0" allowBlank="1" type="list">
      <formula1>"Résolu,En cours,Non résolu,Nouveau,Transmis au National"</formula1>
    </dataValidation>
    <dataValidation sqref="A19" showDropDown="0" showInputMessage="0" showErrorMessage="0" allowBlank="1" type="list">
      <formula1>"Réussite,Difficulté,Perspective,Besoin,Prière"</formula1>
    </dataValidation>
    <dataValidation sqref="B19" showDropDown="0" showInputMessage="0" showErrorMessage="0" allowBlank="1" type="list">
      <formula1>"Mission,Formation,Finance,Infrastructure,Personnel,Spirituel,Assemblée spécifique,Autre"</formula1>
    </dataValidation>
    <dataValidation sqref="D19" showDropDown="0" showInputMessage="0" showErrorMessage="0" allowBlank="1" type="list">
      <formula1>"Résolu,En cours,Non résolu,Nouveau,Transmis au National"</formula1>
    </dataValidation>
    <dataValidation sqref="A20" showDropDown="0" showInputMessage="0" showErrorMessage="0" allowBlank="1" type="list">
      <formula1>"Réussite,Difficulté,Perspective,Besoin,Prière"</formula1>
    </dataValidation>
    <dataValidation sqref="B20" showDropDown="0" showInputMessage="0" showErrorMessage="0" allowBlank="1" type="list">
      <formula1>"Mission,Formation,Finance,Infrastructure,Personnel,Spirituel,Assemblée spécifique,Autre"</formula1>
    </dataValidation>
    <dataValidation sqref="D20" showDropDown="0" showInputMessage="0" showErrorMessage="0" allowBlank="1" type="list">
      <formula1>"Résolu,En cours,Non résolu,Nouveau,Transmis au National"</formula1>
    </dataValidation>
    <dataValidation sqref="A21" showDropDown="0" showInputMessage="0" showErrorMessage="0" allowBlank="1" type="list">
      <formula1>"Réussite,Difficulté,Perspective,Besoin,Prière"</formula1>
    </dataValidation>
    <dataValidation sqref="B21" showDropDown="0" showInputMessage="0" showErrorMessage="0" allowBlank="1" type="list">
      <formula1>"Mission,Formation,Finance,Infrastructure,Personnel,Spirituel,Assemblée spécifique,Autre"</formula1>
    </dataValidation>
    <dataValidation sqref="D21" showDropDown="0" showInputMessage="0" showErrorMessage="0" allowBlank="1" type="list">
      <formula1>"Résolu,En cours,Non résolu,Nouveau,Transmis au National"</formula1>
    </dataValidation>
    <dataValidation sqref="A22" showDropDown="0" showInputMessage="0" showErrorMessage="0" allowBlank="1" type="list">
      <formula1>"Réussite,Difficulté,Perspective,Besoin,Prière"</formula1>
    </dataValidation>
    <dataValidation sqref="B22" showDropDown="0" showInputMessage="0" showErrorMessage="0" allowBlank="1" type="list">
      <formula1>"Mission,Formation,Finance,Infrastructure,Personnel,Spirituel,Assemblée spécifique,Autre"</formula1>
    </dataValidation>
    <dataValidation sqref="D22" showDropDown="0" showInputMessage="0" showErrorMessage="0" allowBlank="1" type="list">
      <formula1>"Résolu,En cours,Non résolu,Nouveau,Transmis au National"</formula1>
    </dataValidation>
    <dataValidation sqref="A23" showDropDown="0" showInputMessage="0" showErrorMessage="0" allowBlank="1" type="list">
      <formula1>"Réussite,Difficulté,Perspective,Besoin,Prière"</formula1>
    </dataValidation>
    <dataValidation sqref="B23" showDropDown="0" showInputMessage="0" showErrorMessage="0" allowBlank="1" type="list">
      <formula1>"Mission,Formation,Finance,Infrastructure,Personnel,Spirituel,Assemblée spécifique,Autre"</formula1>
    </dataValidation>
    <dataValidation sqref="D23" showDropDown="0" showInputMessage="0" showErrorMessage="0" allowBlank="1" type="list">
      <formula1>"Résolu,En cours,Non résolu,Nouveau,Transmis au National"</formula1>
    </dataValidation>
    <dataValidation sqref="A24" showDropDown="0" showInputMessage="0" showErrorMessage="0" allowBlank="1" type="list">
      <formula1>"Réussite,Difficulté,Perspective,Besoin,Prière"</formula1>
    </dataValidation>
    <dataValidation sqref="B24" showDropDown="0" showInputMessage="0" showErrorMessage="0" allowBlank="1" type="list">
      <formula1>"Mission,Formation,Finance,Infrastructure,Personnel,Spirituel,Assemblée spécifique,Autre"</formula1>
    </dataValidation>
    <dataValidation sqref="D24" showDropDown="0" showInputMessage="0" showErrorMessage="0" allowBlank="1" type="list">
      <formula1>"Résolu,En cours,Non résolu,Nouveau,Transmis au National"</formula1>
    </dataValidation>
    <dataValidation sqref="A25" showDropDown="0" showInputMessage="0" showErrorMessage="0" allowBlank="1" type="list">
      <formula1>"Réussite,Difficulté,Perspective,Besoin,Prière"</formula1>
    </dataValidation>
    <dataValidation sqref="B25" showDropDown="0" showInputMessage="0" showErrorMessage="0" allowBlank="1" type="list">
      <formula1>"Mission,Formation,Finance,Infrastructure,Personnel,Spirituel,Assemblée spécifique,Autre"</formula1>
    </dataValidation>
    <dataValidation sqref="D25" showDropDown="0" showInputMessage="0" showErrorMessage="0" allowBlank="1" type="list">
      <formula1>"Résolu,En cours,Non résolu,Nouveau,Transmis au National"</formula1>
    </dataValidation>
    <dataValidation sqref="A26" showDropDown="0" showInputMessage="0" showErrorMessage="0" allowBlank="1" type="list">
      <formula1>"Réussite,Difficulté,Perspective,Besoin,Prière"</formula1>
    </dataValidation>
    <dataValidation sqref="B26" showDropDown="0" showInputMessage="0" showErrorMessage="0" allowBlank="1" type="list">
      <formula1>"Mission,Formation,Finance,Infrastructure,Personnel,Spirituel,Assemblée spécifique,Autre"</formula1>
    </dataValidation>
    <dataValidation sqref="D26" showDropDown="0" showInputMessage="0" showErrorMessage="0" allowBlank="1" type="list">
      <formula1>"Résolu,En cours,Non résolu,Nouveau,Transmis au National"</formula1>
    </dataValidation>
    <dataValidation sqref="A27" showDropDown="0" showInputMessage="0" showErrorMessage="0" allowBlank="1" type="list">
      <formula1>"Réussite,Difficulté,Perspective,Besoin,Prière"</formula1>
    </dataValidation>
    <dataValidation sqref="B27" showDropDown="0" showInputMessage="0" showErrorMessage="0" allowBlank="1" type="list">
      <formula1>"Mission,Formation,Finance,Infrastructure,Personnel,Spirituel,Assemblée spécifique,Autre"</formula1>
    </dataValidation>
    <dataValidation sqref="D27" showDropDown="0" showInputMessage="0" showErrorMessage="0" allowBlank="1" type="list">
      <formula1>"Résolu,En cours,Non résolu,Nouveau,Transmis au National"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2026-06-27T23:22:58Z</dcterms:created>
  <dcterms:modified xmlns:dcterms="http://purl.org/dc/terms/" xmlns:xsi="http://www.w3.org/2001/XMLSchema-instance" xsi:type="dcterms:W3CDTF">2026-06-27T23:22:58Z</dcterms:modified>
</cp:coreProperties>
</file>